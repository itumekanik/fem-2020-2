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"/>
    </mc:Choice>
  </mc:AlternateContent>
  <bookViews>
    <workbookView xWindow="0" yWindow="0" windowWidth="20490" windowHeight="7620" activeTab="3"/>
  </bookViews>
  <sheets>
    <sheet name="SEC" sheetId="5" r:id="rId1"/>
    <sheet name="NT" sheetId="1" r:id="rId2"/>
    <sheet name="ET" sheetId="2" r:id="rId3"/>
    <sheet name="ESM" sheetId="3" r:id="rId4"/>
    <sheet name="SystemMatrix" sheetId="4" r:id="rId5"/>
  </sheets>
  <definedNames>
    <definedName name="code_vector">ESM!$J$17:$O$17</definedName>
    <definedName name="el_count">ESM!$B$2</definedName>
    <definedName name="el_id">ESM!$B$1</definedName>
    <definedName name="element_matrix">ESM!$J$18:$O$23</definedName>
    <definedName name="elements">ET!$A:$I</definedName>
    <definedName name="K_Local">ESM!$J$10:$O$15</definedName>
    <definedName name="nodes">NT!$A:$I</definedName>
    <definedName name="q_element">ESM!$T$18:$T$23</definedName>
    <definedName name="q_system">SystemMatrix!$S$1:$S$15</definedName>
    <definedName name="sections">SEC!$A:$D</definedName>
    <definedName name="system_matrix">SystemMatrix!$A$1:$O$15</definedName>
    <definedName name="T_Alfa">ESM!$J$2:$O$7</definedName>
    <definedName name="u_system">SystemMatrix!$P$1:$Q$15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2" i="4" l="1" a="1"/>
  <c r="R13" i="4" s="1"/>
  <c r="T13" i="4" s="1"/>
  <c r="R12" i="4" l="1"/>
  <c r="T12" i="4" s="1"/>
  <c r="R15" i="4"/>
  <c r="T15" i="4" s="1"/>
  <c r="R14" i="4"/>
  <c r="T14" i="4" s="1"/>
  <c r="T2" i="4"/>
  <c r="T3" i="4"/>
  <c r="T4" i="4"/>
  <c r="T5" i="4"/>
  <c r="T6" i="4"/>
  <c r="T7" i="4"/>
  <c r="T8" i="4"/>
  <c r="T9" i="4"/>
  <c r="T10" i="4"/>
  <c r="T11" i="4"/>
  <c r="T1" i="4"/>
  <c r="B18" i="3"/>
  <c r="B17" i="3"/>
  <c r="B16" i="3"/>
  <c r="Q1" i="4" a="1"/>
  <c r="Q1" i="4" s="1"/>
  <c r="B10" i="3"/>
  <c r="E3" i="2"/>
  <c r="F3" i="2"/>
  <c r="E4" i="2"/>
  <c r="F4" i="2"/>
  <c r="E5" i="2"/>
  <c r="F5" i="2"/>
  <c r="F2" i="2"/>
  <c r="E2" i="2"/>
  <c r="D3" i="5"/>
  <c r="D2" i="5"/>
  <c r="C3" i="5"/>
  <c r="C2" i="5"/>
  <c r="Q8" i="4" l="1"/>
  <c r="Q4" i="4"/>
  <c r="Q11" i="4"/>
  <c r="Q7" i="4"/>
  <c r="Q3" i="4"/>
  <c r="Q10" i="4"/>
  <c r="Q6" i="4"/>
  <c r="Q2" i="4"/>
  <c r="Q9" i="4"/>
  <c r="Q5" i="4"/>
  <c r="B15" i="3"/>
  <c r="B14" i="3"/>
  <c r="B9" i="3"/>
  <c r="K17" i="3" l="1"/>
  <c r="P19" i="3" s="1"/>
  <c r="J17" i="3"/>
  <c r="P18" i="3" s="1"/>
  <c r="L17" i="3"/>
  <c r="P20" i="3" s="1"/>
  <c r="M17" i="3"/>
  <c r="P21" i="3" s="1"/>
  <c r="O17" i="3"/>
  <c r="P23" i="3" s="1"/>
  <c r="N17" i="3"/>
  <c r="P22" i="3" s="1"/>
  <c r="B11" i="3"/>
  <c r="B2" i="3"/>
  <c r="B6" i="3"/>
  <c r="E3" i="3" l="1"/>
  <c r="E7" i="3"/>
  <c r="E4" i="3"/>
  <c r="E5" i="3"/>
  <c r="E6" i="3"/>
  <c r="B13" i="3"/>
  <c r="K2" i="3" s="1"/>
  <c r="N5" i="3" s="1"/>
  <c r="T14" i="3"/>
  <c r="T10" i="3"/>
  <c r="T13" i="3" s="1"/>
  <c r="T12" i="3"/>
  <c r="T15" i="3" s="1"/>
  <c r="T11" i="3"/>
  <c r="Q18" i="3"/>
  <c r="Q20" i="3"/>
  <c r="Q19" i="3"/>
  <c r="Q23" i="3"/>
  <c r="Q21" i="3"/>
  <c r="Q22" i="3"/>
  <c r="B5" i="3"/>
  <c r="B4" i="3"/>
  <c r="B3" i="3"/>
  <c r="B12" i="3"/>
  <c r="J2" i="3" s="1"/>
  <c r="J3" i="3" l="1"/>
  <c r="M6" i="3" s="1"/>
  <c r="B8" i="3"/>
  <c r="B7" i="3"/>
  <c r="J10" i="3" s="1"/>
  <c r="M5" i="3"/>
  <c r="K3" i="3"/>
  <c r="N6" i="3" s="1"/>
  <c r="T18" i="3" l="1" a="1"/>
  <c r="Q10" i="3" a="1"/>
  <c r="M13" i="3"/>
  <c r="M10" i="3"/>
  <c r="J13" i="3" s="1"/>
  <c r="L12" i="3"/>
  <c r="K11" i="3"/>
  <c r="L11" i="3"/>
  <c r="T19" i="3" l="1"/>
  <c r="T18" i="3"/>
  <c r="T21" i="3"/>
  <c r="T20" i="3"/>
  <c r="T22" i="3"/>
  <c r="T23" i="3"/>
  <c r="Q11" i="3"/>
  <c r="Q14" i="3"/>
  <c r="Q15" i="3"/>
  <c r="Q10" i="3"/>
  <c r="Q13" i="3"/>
  <c r="Q12" i="3"/>
  <c r="N14" i="3"/>
  <c r="K14" i="3"/>
  <c r="N11" i="3"/>
  <c r="O15" i="3"/>
  <c r="O12" i="3"/>
  <c r="L15" i="3" s="1"/>
  <c r="K12" i="3"/>
  <c r="L14" i="3"/>
  <c r="O14" i="3" s="1"/>
  <c r="N15" i="3" s="1"/>
  <c r="O11" i="3"/>
  <c r="N12" i="3" s="1"/>
  <c r="K15" i="3"/>
  <c r="J18" i="3" l="1" a="1"/>
  <c r="J18" i="3" l="1"/>
  <c r="L23" i="3"/>
  <c r="K23" i="3"/>
  <c r="M20" i="3"/>
  <c r="N23" i="3"/>
  <c r="J21" i="3"/>
  <c r="L18" i="3"/>
  <c r="M21" i="3"/>
  <c r="O18" i="3"/>
  <c r="J20" i="3"/>
  <c r="L21" i="3"/>
  <c r="O21" i="3"/>
  <c r="K19" i="3"/>
  <c r="L22" i="3"/>
  <c r="N19" i="3"/>
  <c r="O22" i="3"/>
  <c r="K20" i="3"/>
  <c r="J22" i="3"/>
  <c r="N18" i="3"/>
  <c r="N22" i="3"/>
  <c r="M22" i="3"/>
  <c r="O19" i="3"/>
  <c r="J23" i="3"/>
  <c r="L20" i="3"/>
  <c r="M23" i="3"/>
  <c r="O20" i="3"/>
  <c r="K18" i="3"/>
  <c r="L19" i="3"/>
  <c r="O23" i="3"/>
  <c r="K21" i="3"/>
  <c r="M18" i="3"/>
  <c r="N21" i="3"/>
  <c r="J19" i="3"/>
  <c r="K22" i="3"/>
  <c r="M19" i="3"/>
  <c r="N20" i="3"/>
  <c r="S18" i="3" l="1" a="1"/>
  <c r="S18" i="3" l="1"/>
  <c r="S20" i="3"/>
  <c r="S22" i="3"/>
  <c r="S23" i="3"/>
  <c r="S19" i="3"/>
  <c r="S21" i="3"/>
  <c r="S10" i="3" l="1" a="1"/>
  <c r="S10" i="3" l="1"/>
  <c r="S12" i="3"/>
  <c r="S11" i="3"/>
  <c r="S14" i="3"/>
  <c r="S15" i="3"/>
  <c r="S13" i="3"/>
  <c r="G5" i="3" l="1"/>
  <c r="G6" i="3"/>
  <c r="G7" i="3"/>
  <c r="G4" i="3"/>
  <c r="G3" i="3"/>
  <c r="H6" i="3"/>
  <c r="H7" i="3"/>
  <c r="H4" i="3"/>
  <c r="H3" i="3"/>
  <c r="H5" i="3"/>
  <c r="F4" i="3"/>
  <c r="F3" i="3"/>
  <c r="F5" i="3"/>
  <c r="F6" i="3"/>
  <c r="F7" i="3"/>
</calcChain>
</file>

<file path=xl/sharedStrings.xml><?xml version="1.0" encoding="utf-8"?>
<sst xmlns="http://schemas.openxmlformats.org/spreadsheetml/2006/main" count="70" uniqueCount="54">
  <si>
    <t>ID</t>
  </si>
  <si>
    <t>X</t>
  </si>
  <si>
    <t>rx</t>
  </si>
  <si>
    <t>dof_x</t>
  </si>
  <si>
    <t>n_start</t>
  </si>
  <si>
    <t>n_end</t>
  </si>
  <si>
    <t>EA</t>
  </si>
  <si>
    <t>L</t>
  </si>
  <si>
    <t>Element ID</t>
  </si>
  <si>
    <t>NUM_OF_EL</t>
  </si>
  <si>
    <t>Y</t>
  </si>
  <si>
    <t>ry</t>
  </si>
  <si>
    <t>dof_y</t>
  </si>
  <si>
    <t>Lx</t>
  </si>
  <si>
    <t>Ly</t>
  </si>
  <si>
    <t>c</t>
  </si>
  <si>
    <t>s</t>
  </si>
  <si>
    <t>KL</t>
  </si>
  <si>
    <t>KG</t>
  </si>
  <si>
    <t>ni</t>
  </si>
  <si>
    <t>nj</t>
  </si>
  <si>
    <t>ug</t>
  </si>
  <si>
    <t>Qg</t>
  </si>
  <si>
    <t>QL</t>
  </si>
  <si>
    <t>rz</t>
  </si>
  <si>
    <t>dof_teta</t>
  </si>
  <si>
    <t>E</t>
  </si>
  <si>
    <t>A</t>
  </si>
  <si>
    <t>I</t>
  </si>
  <si>
    <t>b</t>
  </si>
  <si>
    <t>h</t>
  </si>
  <si>
    <t>30x50</t>
  </si>
  <si>
    <t>25x60</t>
  </si>
  <si>
    <t>SEC</t>
  </si>
  <si>
    <t>EI</t>
  </si>
  <si>
    <t>T_alfa</t>
  </si>
  <si>
    <t>qx</t>
  </si>
  <si>
    <t>qy</t>
  </si>
  <si>
    <t>mz</t>
  </si>
  <si>
    <t>qL</t>
  </si>
  <si>
    <t>=</t>
  </si>
  <si>
    <t>uL</t>
  </si>
  <si>
    <t>T_T * qL</t>
  </si>
  <si>
    <t>K_Sistem</t>
  </si>
  <si>
    <t>u_system</t>
  </si>
  <si>
    <t>P</t>
  </si>
  <si>
    <t>q_system</t>
  </si>
  <si>
    <t>P+q</t>
  </si>
  <si>
    <t>x</t>
  </si>
  <si>
    <t>x/L</t>
  </si>
  <si>
    <t>N(x)</t>
  </si>
  <si>
    <t>M(x)</t>
  </si>
  <si>
    <t>T(x)</t>
  </si>
  <si>
    <t>Stress Resultants at x (Please change only the "green" cell)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</si>
</sst>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5" xfId="0" applyFill="1" applyBorder="1"/>
    <xf numFmtId="0" fontId="0" fillId="2" borderId="0" xfId="0" applyFill="1" applyBorder="1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1" xfId="0" applyBorder="1"/>
    <xf numFmtId="0" fontId="0" fillId="0" borderId="7" xfId="0" applyFill="1" applyBorder="1"/>
    <xf numFmtId="0" fontId="0" fillId="0" borderId="8" xfId="0" applyFill="1" applyBorder="1"/>
    <xf numFmtId="0" fontId="0" fillId="0" borderId="1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8" xfId="0" applyNumberFormat="1" applyFont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5" xfId="0" applyFill="1" applyBorder="1"/>
    <xf numFmtId="0" fontId="0" fillId="0" borderId="2" xfId="0" applyFill="1" applyBorder="1"/>
    <xf numFmtId="0" fontId="0" fillId="0" borderId="0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2" xfId="0" quotePrefix="1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1" xfId="0" applyFill="1" applyBorder="1"/>
    <xf numFmtId="0" fontId="0" fillId="2" borderId="6" xfId="0" applyFill="1" applyBorder="1"/>
    <xf numFmtId="0" fontId="0" fillId="0" borderId="8" xfId="0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1" fillId="0" borderId="0" xfId="0" applyFont="1"/>
    <xf numFmtId="2" fontId="0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ESM!$F$2</c:f>
              <c:strCache>
                <c:ptCount val="1"/>
                <c:pt idx="0">
                  <c:v>M(x)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ESM!$E$3:$E$7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ESM!$F$3:$F$7</c:f>
              <c:numCache>
                <c:formatCode>0.00</c:formatCode>
                <c:ptCount val="5"/>
                <c:pt idx="0">
                  <c:v>-15.88465953965056</c:v>
                </c:pt>
                <c:pt idx="1">
                  <c:v>5.0961170502912267</c:v>
                </c:pt>
                <c:pt idx="2">
                  <c:v>21.076893640233013</c:v>
                </c:pt>
                <c:pt idx="3">
                  <c:v>32.057670230174807</c:v>
                </c:pt>
                <c:pt idx="4">
                  <c:v>38.03844682011659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54-4FD0-8739-2C8695E6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007"/>
        <c:axId val="214987839"/>
      </c:scatterChart>
      <c:valAx>
        <c:axId val="214987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839"/>
        <c:crosses val="autoZero"/>
        <c:crossBetween val="midCat"/>
      </c:valAx>
      <c:valAx>
        <c:axId val="21498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ESM!$G$2</c:f>
              <c:strCache>
                <c:ptCount val="1"/>
                <c:pt idx="0">
                  <c:v>N(x)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ESM!$E$3:$E$7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ESM!$G$3:$G$7</c:f>
              <c:numCache>
                <c:formatCode>0.00</c:formatCode>
                <c:ptCount val="5"/>
                <c:pt idx="0">
                  <c:v>30.000000000000455</c:v>
                </c:pt>
                <c:pt idx="1">
                  <c:v>30.000000000000455</c:v>
                </c:pt>
                <c:pt idx="2">
                  <c:v>30.000000000000455</c:v>
                </c:pt>
                <c:pt idx="3">
                  <c:v>30.000000000000455</c:v>
                </c:pt>
                <c:pt idx="4">
                  <c:v>30.000000000000455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DA-4DA3-88B3-89E6F1347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007"/>
        <c:axId val="214987839"/>
      </c:scatterChart>
      <c:valAx>
        <c:axId val="214987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839"/>
        <c:crosses val="autoZero"/>
        <c:crossBetween val="midCat"/>
      </c:valAx>
      <c:valAx>
        <c:axId val="21498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ESM!$H$2</c:f>
              <c:strCache>
                <c:ptCount val="1"/>
                <c:pt idx="0">
                  <c:v>T(x)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ESM!$E$3:$E$7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ESM!$H$3:$H$7</c:f>
              <c:numCache>
                <c:formatCode>0.00</c:formatCode>
                <c:ptCount val="5"/>
                <c:pt idx="0">
                  <c:v>-23.480776589941787</c:v>
                </c:pt>
                <c:pt idx="1">
                  <c:v>-18.480776589941787</c:v>
                </c:pt>
                <c:pt idx="2">
                  <c:v>-13.480776589941787</c:v>
                </c:pt>
                <c:pt idx="3">
                  <c:v>-8.4807765899417866</c:v>
                </c:pt>
                <c:pt idx="4">
                  <c:v>-3.4807765899417866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09-45D2-A106-2959961CA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007"/>
        <c:axId val="214987839"/>
      </c:scatterChart>
      <c:valAx>
        <c:axId val="214987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839"/>
        <c:crosses val="autoZero"/>
        <c:crossBetween val="midCat"/>
      </c:valAx>
      <c:valAx>
        <c:axId val="21498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987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98905</xdr:colOff>
      <xdr:row>7</xdr:row>
      <xdr:rowOff>36053</xdr:rowOff>
    </xdr:from>
    <xdr:to>
      <xdr:col>8</xdr:col>
      <xdr:colOff>322535</xdr:colOff>
      <xdr:row>14</xdr:row>
      <xdr:rowOff>96956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78929</xdr:colOff>
      <xdr:row>14</xdr:row>
      <xdr:rowOff>113521</xdr:rowOff>
    </xdr:from>
    <xdr:to>
      <xdr:col>8</xdr:col>
      <xdr:colOff>302559</xdr:colOff>
      <xdr:row>21</xdr:row>
      <xdr:rowOff>160294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76005</xdr:colOff>
      <xdr:row>21</xdr:row>
      <xdr:rowOff>170525</xdr:rowOff>
    </xdr:from>
    <xdr:to>
      <xdr:col>8</xdr:col>
      <xdr:colOff>299635</xdr:colOff>
      <xdr:row>29</xdr:row>
      <xdr:rowOff>35081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"/>
  <sheetViews>
    <sheetView zoomScale="205" zoomScaleNormal="205" workbookViewId="0">
      <selection activeCell="B4" sqref="B4"/>
    </sheetView>
  </sheetViews>
  <sheetFormatPr defaultRowHeight="15" x14ac:dyDescent="0.25"/>
  <cols>
    <col min="1" max="16384" width="9.140625" style="1"/>
  </cols>
  <sheetData>
    <row r="1" spans="1:6" s="2" customFormat="1" x14ac:dyDescent="0.25">
      <c r="A1" s="2" t="s">
        <v>0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</row>
    <row r="2" spans="1:6" x14ac:dyDescent="0.25">
      <c r="A2" s="1" t="s">
        <v>31</v>
      </c>
      <c r="B2" s="31">
        <v>28000000</v>
      </c>
      <c r="C2" s="1">
        <f>E2*F2</f>
        <v>0.15</v>
      </c>
      <c r="D2" s="1">
        <f>E2*F2^3/12</f>
        <v>3.1249999999999997E-3</v>
      </c>
      <c r="E2" s="1">
        <v>0.3</v>
      </c>
      <c r="F2" s="1">
        <v>0.5</v>
      </c>
    </row>
    <row r="3" spans="1:6" x14ac:dyDescent="0.25">
      <c r="A3" s="1" t="s">
        <v>32</v>
      </c>
      <c r="B3" s="31">
        <v>28000000</v>
      </c>
      <c r="C3" s="1">
        <f>E3*F3</f>
        <v>0.15</v>
      </c>
      <c r="D3" s="1">
        <f>E3*F3^3/12</f>
        <v>4.4999999999999997E-3</v>
      </c>
      <c r="E3" s="1">
        <v>0.25</v>
      </c>
      <c r="F3" s="1">
        <v>0.6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"/>
  <sheetViews>
    <sheetView zoomScale="175" zoomScaleNormal="175" workbookViewId="0">
      <selection activeCell="G2" sqref="G2"/>
    </sheetView>
  </sheetViews>
  <sheetFormatPr defaultRowHeight="15" x14ac:dyDescent="0.25"/>
  <cols>
    <col min="1" max="16384" width="9.140625" style="1"/>
  </cols>
  <sheetData>
    <row r="1" spans="1:9" s="2" customFormat="1" x14ac:dyDescent="0.25">
      <c r="A1" s="2" t="s">
        <v>0</v>
      </c>
      <c r="B1" s="2" t="s">
        <v>1</v>
      </c>
      <c r="C1" s="2" t="s">
        <v>10</v>
      </c>
      <c r="D1" s="2" t="s">
        <v>2</v>
      </c>
      <c r="E1" s="2" t="s">
        <v>11</v>
      </c>
      <c r="F1" s="2" t="s">
        <v>24</v>
      </c>
      <c r="G1" s="2" t="s">
        <v>3</v>
      </c>
      <c r="H1" s="2" t="s">
        <v>12</v>
      </c>
      <c r="I1" s="2" t="s">
        <v>25</v>
      </c>
    </row>
    <row r="2" spans="1:9" x14ac:dyDescent="0.25">
      <c r="A2" s="1">
        <v>1</v>
      </c>
      <c r="B2" s="1">
        <v>0</v>
      </c>
      <c r="C2" s="1">
        <v>0</v>
      </c>
      <c r="D2" s="1">
        <v>1</v>
      </c>
      <c r="E2" s="1">
        <v>1</v>
      </c>
      <c r="F2" s="1">
        <v>1</v>
      </c>
      <c r="G2" s="1">
        <v>12</v>
      </c>
      <c r="H2" s="1">
        <v>13</v>
      </c>
      <c r="I2" s="1">
        <v>14</v>
      </c>
    </row>
    <row r="3" spans="1:9" x14ac:dyDescent="0.25">
      <c r="A3" s="1">
        <v>2</v>
      </c>
      <c r="B3" s="1">
        <v>6</v>
      </c>
      <c r="C3" s="1">
        <v>0</v>
      </c>
      <c r="D3" s="1">
        <v>0</v>
      </c>
      <c r="E3" s="1">
        <v>1</v>
      </c>
      <c r="F3" s="1">
        <v>0</v>
      </c>
      <c r="G3" s="1">
        <v>1</v>
      </c>
      <c r="H3" s="1">
        <v>15</v>
      </c>
      <c r="I3" s="1">
        <v>2</v>
      </c>
    </row>
    <row r="4" spans="1:9" x14ac:dyDescent="0.25">
      <c r="A4" s="1">
        <v>3</v>
      </c>
      <c r="B4" s="1">
        <v>0</v>
      </c>
      <c r="C4" s="1">
        <v>3</v>
      </c>
      <c r="D4" s="1">
        <v>0</v>
      </c>
      <c r="E4" s="1">
        <v>0</v>
      </c>
      <c r="F4" s="1">
        <v>0</v>
      </c>
      <c r="G4" s="1">
        <v>3</v>
      </c>
      <c r="H4" s="1">
        <v>4</v>
      </c>
      <c r="I4" s="1">
        <v>5</v>
      </c>
    </row>
    <row r="5" spans="1:9" x14ac:dyDescent="0.25">
      <c r="A5" s="1">
        <v>4</v>
      </c>
      <c r="B5" s="1">
        <v>4</v>
      </c>
      <c r="C5" s="1">
        <v>3</v>
      </c>
      <c r="D5" s="1">
        <v>0</v>
      </c>
      <c r="E5" s="1">
        <v>0</v>
      </c>
      <c r="F5" s="1">
        <v>0</v>
      </c>
      <c r="G5" s="1">
        <v>6</v>
      </c>
      <c r="H5" s="1">
        <v>7</v>
      </c>
      <c r="I5" s="1">
        <v>8</v>
      </c>
    </row>
    <row r="6" spans="1:9" x14ac:dyDescent="0.25">
      <c r="A6" s="1">
        <v>5</v>
      </c>
      <c r="B6" s="1">
        <v>5</v>
      </c>
      <c r="C6" s="1">
        <v>1.5</v>
      </c>
      <c r="D6" s="1">
        <v>0</v>
      </c>
      <c r="E6" s="1">
        <v>0</v>
      </c>
      <c r="F6" s="1">
        <v>0</v>
      </c>
      <c r="G6" s="1">
        <v>9</v>
      </c>
      <c r="H6" s="1">
        <v>10</v>
      </c>
      <c r="I6" s="1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"/>
  <sheetViews>
    <sheetView zoomScale="205" zoomScaleNormal="205" workbookViewId="0">
      <selection activeCell="G8" sqref="G8"/>
    </sheetView>
  </sheetViews>
  <sheetFormatPr defaultRowHeight="15" x14ac:dyDescent="0.25"/>
  <cols>
    <col min="1" max="16384" width="9.140625" style="1"/>
  </cols>
  <sheetData>
    <row r="1" spans="1:9" s="2" customFormat="1" x14ac:dyDescent="0.25">
      <c r="A1" s="2" t="s">
        <v>0</v>
      </c>
      <c r="B1" s="2" t="s">
        <v>4</v>
      </c>
      <c r="C1" s="2" t="s">
        <v>5</v>
      </c>
      <c r="D1" s="2" t="s">
        <v>33</v>
      </c>
      <c r="E1" s="2" t="s">
        <v>13</v>
      </c>
      <c r="F1" s="2" t="s">
        <v>14</v>
      </c>
      <c r="G1" s="2" t="s">
        <v>36</v>
      </c>
      <c r="H1" s="2" t="s">
        <v>37</v>
      </c>
      <c r="I1" s="2" t="s">
        <v>38</v>
      </c>
    </row>
    <row r="2" spans="1:9" x14ac:dyDescent="0.25">
      <c r="A2" s="1">
        <v>1</v>
      </c>
      <c r="B2" s="1">
        <v>1</v>
      </c>
      <c r="C2" s="1">
        <v>3</v>
      </c>
      <c r="D2" s="1" t="s">
        <v>31</v>
      </c>
      <c r="E2" s="1">
        <f>VLOOKUP(C2,nodes,2,FALSE)-VLOOKUP(B2,nodes,2,FALSE)</f>
        <v>0</v>
      </c>
      <c r="F2" s="1">
        <f>VLOOKUP(C2,nodes,3,FALSE)-VLOOKUP(B2,nodes,3,FALSE)</f>
        <v>3</v>
      </c>
      <c r="G2" s="1">
        <v>0</v>
      </c>
      <c r="H2" s="1">
        <v>0</v>
      </c>
      <c r="I2" s="1">
        <v>0</v>
      </c>
    </row>
    <row r="3" spans="1:9" x14ac:dyDescent="0.25">
      <c r="A3" s="1">
        <v>2</v>
      </c>
      <c r="B3" s="1">
        <v>3</v>
      </c>
      <c r="C3" s="1">
        <v>4</v>
      </c>
      <c r="D3" s="1" t="s">
        <v>32</v>
      </c>
      <c r="E3" s="1">
        <f>VLOOKUP(C3,nodes,2,FALSE)-VLOOKUP(B3,nodes,2,FALSE)</f>
        <v>4</v>
      </c>
      <c r="F3" s="1">
        <f>VLOOKUP(C3,nodes,3,FALSE)-VLOOKUP(B3,nodes,3,FALSE)</f>
        <v>0</v>
      </c>
      <c r="G3" s="1">
        <v>0</v>
      </c>
      <c r="H3" s="1">
        <v>-5</v>
      </c>
      <c r="I3" s="1">
        <v>0</v>
      </c>
    </row>
    <row r="4" spans="1:9" x14ac:dyDescent="0.25">
      <c r="A4" s="1">
        <v>3</v>
      </c>
      <c r="B4" s="1">
        <v>4</v>
      </c>
      <c r="C4" s="1">
        <v>5</v>
      </c>
      <c r="D4" s="1" t="s">
        <v>31</v>
      </c>
      <c r="E4" s="1">
        <f>VLOOKUP(C4,nodes,2,FALSE)-VLOOKUP(B4,nodes,2,FALSE)</f>
        <v>1</v>
      </c>
      <c r="F4" s="1">
        <f>VLOOKUP(C4,nodes,3,FALSE)-VLOOKUP(B4,nodes,3,FALSE)</f>
        <v>-1.5</v>
      </c>
      <c r="G4" s="1">
        <v>0</v>
      </c>
      <c r="H4" s="1">
        <v>0</v>
      </c>
      <c r="I4" s="1">
        <v>0</v>
      </c>
    </row>
    <row r="5" spans="1:9" x14ac:dyDescent="0.25">
      <c r="A5" s="1">
        <v>4</v>
      </c>
      <c r="B5" s="1">
        <v>5</v>
      </c>
      <c r="C5" s="1">
        <v>2</v>
      </c>
      <c r="D5" s="1" t="s">
        <v>31</v>
      </c>
      <c r="E5" s="1">
        <f>VLOOKUP(C5,nodes,2,FALSE)-VLOOKUP(B5,nodes,2,FALSE)</f>
        <v>1</v>
      </c>
      <c r="F5" s="1">
        <f>VLOOKUP(C5,nodes,3,FALSE)-VLOOKUP(B5,nodes,3,FALSE)</f>
        <v>-1.5</v>
      </c>
      <c r="G5" s="1">
        <v>0</v>
      </c>
      <c r="H5" s="1">
        <v>0</v>
      </c>
      <c r="I5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4"/>
  <sheetViews>
    <sheetView tabSelected="1" zoomScale="115" zoomScaleNormal="115" workbookViewId="0">
      <selection activeCell="C1" sqref="C1"/>
    </sheetView>
  </sheetViews>
  <sheetFormatPr defaultRowHeight="15" x14ac:dyDescent="0.25"/>
  <cols>
    <col min="1" max="1" width="11.85546875" bestFit="1" customWidth="1"/>
    <col min="3" max="9" width="9.140625" style="6"/>
    <col min="10" max="10" width="11.28515625" style="6" customWidth="1"/>
    <col min="11" max="11" width="13.42578125" style="6" bestFit="1" customWidth="1"/>
    <col min="12" max="12" width="8.42578125" style="6" bestFit="1" customWidth="1"/>
    <col min="13" max="16" width="9.140625" style="6"/>
  </cols>
  <sheetData>
    <row r="1" spans="1:22" ht="15.75" thickBot="1" x14ac:dyDescent="0.3">
      <c r="A1" t="s">
        <v>8</v>
      </c>
      <c r="B1" s="44">
        <v>2</v>
      </c>
      <c r="D1" s="45" t="s">
        <v>53</v>
      </c>
      <c r="E1" s="45"/>
      <c r="F1" s="45"/>
      <c r="G1" s="45"/>
      <c r="H1" s="45"/>
      <c r="I1" s="45"/>
      <c r="K1" s="16" t="s">
        <v>35</v>
      </c>
      <c r="V1" s="45"/>
    </row>
    <row r="2" spans="1:22" x14ac:dyDescent="0.25">
      <c r="A2" t="s">
        <v>9</v>
      </c>
      <c r="B2">
        <f>COUNT(ET!A:A)</f>
        <v>4</v>
      </c>
      <c r="D2" s="1" t="s">
        <v>49</v>
      </c>
      <c r="E2" s="1" t="s">
        <v>48</v>
      </c>
      <c r="F2" s="2" t="s">
        <v>51</v>
      </c>
      <c r="G2" s="2" t="s">
        <v>50</v>
      </c>
      <c r="H2" s="2" t="s">
        <v>52</v>
      </c>
      <c r="I2" s="2"/>
      <c r="J2" s="20">
        <f>B12</f>
        <v>1</v>
      </c>
      <c r="K2" s="21">
        <f>B13</f>
        <v>0</v>
      </c>
      <c r="L2" s="21">
        <v>0</v>
      </c>
      <c r="M2" s="21">
        <v>0</v>
      </c>
      <c r="N2" s="33">
        <v>0</v>
      </c>
      <c r="O2" s="34">
        <v>0</v>
      </c>
      <c r="P2" s="15"/>
    </row>
    <row r="3" spans="1:22" x14ac:dyDescent="0.25">
      <c r="A3" t="s">
        <v>26</v>
      </c>
      <c r="B3">
        <f>VLOOKUP(B6,sections,2,FALSE)</f>
        <v>28000000</v>
      </c>
      <c r="D3" s="46">
        <v>0</v>
      </c>
      <c r="E3" s="1">
        <f>D3*$B$11</f>
        <v>0</v>
      </c>
      <c r="F3" s="48">
        <f>-$S$12+$B$17*E3^2/2-$B$18*E3+$S$11*E3</f>
        <v>-15.88465953965056</v>
      </c>
      <c r="G3" s="48">
        <f>-$S$10-$B$16*E3</f>
        <v>30.000000000000455</v>
      </c>
      <c r="H3" s="48">
        <f>-$S$11-$B$17*E3</f>
        <v>-23.480776589941787</v>
      </c>
      <c r="I3" s="1"/>
      <c r="J3" s="22">
        <f>-K2</f>
        <v>0</v>
      </c>
      <c r="K3" s="23">
        <f>J2</f>
        <v>1</v>
      </c>
      <c r="L3" s="23">
        <v>0</v>
      </c>
      <c r="M3" s="23">
        <v>0</v>
      </c>
      <c r="N3" s="32">
        <v>0</v>
      </c>
      <c r="O3" s="35">
        <v>0</v>
      </c>
    </row>
    <row r="4" spans="1:22" x14ac:dyDescent="0.25">
      <c r="A4" t="s">
        <v>27</v>
      </c>
      <c r="B4">
        <f>VLOOKUP(B6,sections,3,FALSE)</f>
        <v>0.15</v>
      </c>
      <c r="D4" s="47">
        <v>0.25</v>
      </c>
      <c r="E4" s="1">
        <f t="shared" ref="E4:E7" si="0">D4*$B$11</f>
        <v>1</v>
      </c>
      <c r="F4" s="48">
        <f t="shared" ref="F4:F7" si="1">-$S$12+$B$17*E4^2/2-$B$18*E4+$S$11*E4</f>
        <v>5.0961170502912267</v>
      </c>
      <c r="G4" s="48">
        <f t="shared" ref="G4:G7" si="2">-$S$10-$B$16*E4</f>
        <v>30.000000000000455</v>
      </c>
      <c r="H4" s="48">
        <f t="shared" ref="H4:H7" si="3">-$S$11-$B$17*E4</f>
        <v>-18.480776589941787</v>
      </c>
      <c r="I4" s="1"/>
      <c r="J4" s="22">
        <v>0</v>
      </c>
      <c r="K4" s="23">
        <v>0</v>
      </c>
      <c r="L4" s="32">
        <v>1</v>
      </c>
      <c r="M4" s="32">
        <v>0</v>
      </c>
      <c r="N4" s="32">
        <v>0</v>
      </c>
      <c r="O4" s="35">
        <v>0</v>
      </c>
      <c r="P4" s="7"/>
    </row>
    <row r="5" spans="1:22" x14ac:dyDescent="0.25">
      <c r="A5" t="s">
        <v>28</v>
      </c>
      <c r="B5">
        <f>VLOOKUP(B6,sections,4,FALSE)</f>
        <v>4.4999999999999997E-3</v>
      </c>
      <c r="D5" s="48">
        <v>0.5</v>
      </c>
      <c r="E5" s="1">
        <f t="shared" si="0"/>
        <v>2</v>
      </c>
      <c r="F5" s="48">
        <f t="shared" si="1"/>
        <v>21.076893640233013</v>
      </c>
      <c r="G5" s="48">
        <f t="shared" si="2"/>
        <v>30.000000000000455</v>
      </c>
      <c r="H5" s="48">
        <f t="shared" si="3"/>
        <v>-13.480776589941787</v>
      </c>
      <c r="I5" s="1"/>
      <c r="J5" s="22">
        <v>0</v>
      </c>
      <c r="K5" s="23">
        <v>0</v>
      </c>
      <c r="L5" s="32">
        <v>0</v>
      </c>
      <c r="M5" s="23">
        <f>J2</f>
        <v>1</v>
      </c>
      <c r="N5" s="23">
        <f>K2</f>
        <v>0</v>
      </c>
      <c r="O5" s="35">
        <v>0</v>
      </c>
      <c r="P5" s="7"/>
    </row>
    <row r="6" spans="1:22" x14ac:dyDescent="0.25">
      <c r="A6" t="s">
        <v>33</v>
      </c>
      <c r="B6" t="str">
        <f>VLOOKUP(el_id, elements, 4, FALSE)</f>
        <v>25x60</v>
      </c>
      <c r="D6" s="48">
        <v>0.75</v>
      </c>
      <c r="E6" s="1">
        <f>D6*$B$11</f>
        <v>3</v>
      </c>
      <c r="F6" s="48">
        <f t="shared" si="1"/>
        <v>32.057670230174807</v>
      </c>
      <c r="G6" s="48">
        <f t="shared" si="2"/>
        <v>30.000000000000455</v>
      </c>
      <c r="H6" s="48">
        <f t="shared" si="3"/>
        <v>-8.4807765899417866</v>
      </c>
      <c r="I6" s="1"/>
      <c r="J6" s="22">
        <v>0</v>
      </c>
      <c r="K6" s="23">
        <v>0</v>
      </c>
      <c r="L6" s="23">
        <v>0</v>
      </c>
      <c r="M6" s="23">
        <f>J3</f>
        <v>0</v>
      </c>
      <c r="N6" s="23">
        <f>K3</f>
        <v>1</v>
      </c>
      <c r="O6" s="35">
        <v>0</v>
      </c>
      <c r="P6" s="7"/>
    </row>
    <row r="7" spans="1:22" ht="15.75" thickBot="1" x14ac:dyDescent="0.3">
      <c r="A7" t="s">
        <v>6</v>
      </c>
      <c r="B7">
        <f>B3*B4</f>
        <v>4200000</v>
      </c>
      <c r="D7" s="47">
        <v>1</v>
      </c>
      <c r="E7" s="1">
        <f t="shared" si="0"/>
        <v>4</v>
      </c>
      <c r="F7" s="48">
        <f t="shared" si="1"/>
        <v>38.03844682011659</v>
      </c>
      <c r="G7" s="48">
        <f t="shared" si="2"/>
        <v>30.000000000000455</v>
      </c>
      <c r="H7" s="48">
        <f t="shared" si="3"/>
        <v>-3.4807765899417866</v>
      </c>
      <c r="I7" s="1"/>
      <c r="J7" s="24">
        <v>0</v>
      </c>
      <c r="K7" s="25">
        <v>0</v>
      </c>
      <c r="L7" s="25">
        <v>0</v>
      </c>
      <c r="M7" s="25">
        <v>0</v>
      </c>
      <c r="N7" s="36">
        <v>0</v>
      </c>
      <c r="O7" s="37">
        <v>1</v>
      </c>
      <c r="P7" s="7"/>
    </row>
    <row r="8" spans="1:22" x14ac:dyDescent="0.25">
      <c r="A8" t="s">
        <v>34</v>
      </c>
      <c r="B8">
        <f>B3*B5</f>
        <v>125999.99999999999</v>
      </c>
    </row>
    <row r="9" spans="1:22" ht="15.75" thickBot="1" x14ac:dyDescent="0.3">
      <c r="A9" t="s">
        <v>13</v>
      </c>
      <c r="B9">
        <f>VLOOKUP(el_id,elements,5,FALSE)</f>
        <v>4</v>
      </c>
      <c r="K9" s="16" t="s">
        <v>17</v>
      </c>
      <c r="Q9" t="s">
        <v>41</v>
      </c>
      <c r="S9" t="s">
        <v>23</v>
      </c>
      <c r="T9" t="s">
        <v>39</v>
      </c>
    </row>
    <row r="10" spans="1:22" x14ac:dyDescent="0.25">
      <c r="A10" t="s">
        <v>14</v>
      </c>
      <c r="B10">
        <f>VLOOKUP(el_id,elements,6,FALSE)</f>
        <v>0</v>
      </c>
      <c r="J10" s="17">
        <f>B7/B11</f>
        <v>1050000</v>
      </c>
      <c r="K10" s="8">
        <v>0</v>
      </c>
      <c r="L10" s="8">
        <v>0</v>
      </c>
      <c r="M10" s="8">
        <f>-J10</f>
        <v>-1050000</v>
      </c>
      <c r="N10" s="8">
        <v>0</v>
      </c>
      <c r="O10" s="3">
        <v>0</v>
      </c>
      <c r="Q10">
        <f t="array" ref="Q10:Q15">MMULT(J2:O7,Q18:Q23)</f>
        <v>1.3312110620391892E-3</v>
      </c>
      <c r="S10">
        <f t="array" ref="S10:S15">MMULT(J2:O7,S18:S23)</f>
        <v>-30.000000000000455</v>
      </c>
      <c r="T10">
        <f>B16*B11/2</f>
        <v>0</v>
      </c>
    </row>
    <row r="11" spans="1:22" x14ac:dyDescent="0.25">
      <c r="A11" t="s">
        <v>7</v>
      </c>
      <c r="B11">
        <f>(B9^2+B10^2)^0.5</f>
        <v>4</v>
      </c>
      <c r="J11" s="9">
        <v>0</v>
      </c>
      <c r="K11" s="6">
        <f>12*B8/B11^3</f>
        <v>23624.999999999996</v>
      </c>
      <c r="L11" s="6">
        <f>6*B8/B11^2</f>
        <v>47249.999999999993</v>
      </c>
      <c r="M11" s="14">
        <v>0</v>
      </c>
      <c r="N11" s="6">
        <f>-K11</f>
        <v>-23624.999999999996</v>
      </c>
      <c r="O11" s="10">
        <f>L11</f>
        <v>47249.999999999993</v>
      </c>
      <c r="Q11">
        <v>-1.6771983278529846E-5</v>
      </c>
      <c r="S11">
        <v>23.480776589941787</v>
      </c>
      <c r="T11">
        <f>B17*B11/2-B18</f>
        <v>-10</v>
      </c>
    </row>
    <row r="12" spans="1:22" x14ac:dyDescent="0.25">
      <c r="A12" t="s">
        <v>15</v>
      </c>
      <c r="B12">
        <f>B9/B11</f>
        <v>1</v>
      </c>
      <c r="J12" s="9">
        <v>0</v>
      </c>
      <c r="K12" s="6">
        <f>L11</f>
        <v>47249.999999999993</v>
      </c>
      <c r="L12" s="6">
        <f>4*B8/B11</f>
        <v>125999.99999999999</v>
      </c>
      <c r="M12" s="6">
        <v>0</v>
      </c>
      <c r="N12" s="6">
        <f>-O11</f>
        <v>-47249.999999999993</v>
      </c>
      <c r="O12" s="10">
        <f>0.5*L12</f>
        <v>62999.999999999993</v>
      </c>
      <c r="Q12">
        <v>-3.7318832707374243E-4</v>
      </c>
      <c r="S12">
        <v>15.88465953965056</v>
      </c>
      <c r="T12">
        <f>B17*B11^2/12</f>
        <v>-6.666666666666667</v>
      </c>
    </row>
    <row r="13" spans="1:22" x14ac:dyDescent="0.25">
      <c r="A13" t="s">
        <v>16</v>
      </c>
      <c r="B13">
        <f>B10/B11</f>
        <v>0</v>
      </c>
      <c r="J13" s="9">
        <f>M10</f>
        <v>-1050000</v>
      </c>
      <c r="K13" s="14">
        <v>0</v>
      </c>
      <c r="L13" s="6">
        <v>0</v>
      </c>
      <c r="M13" s="14">
        <f>J10</f>
        <v>1050000</v>
      </c>
      <c r="N13" s="6">
        <v>0</v>
      </c>
      <c r="O13" s="10">
        <v>0</v>
      </c>
      <c r="Q13">
        <v>1.3597824906106182E-3</v>
      </c>
      <c r="R13" s="42" t="s">
        <v>40</v>
      </c>
      <c r="S13">
        <v>30.000000000000455</v>
      </c>
      <c r="T13">
        <f>T10</f>
        <v>0</v>
      </c>
    </row>
    <row r="14" spans="1:22" x14ac:dyDescent="0.25">
      <c r="A14" t="s">
        <v>19</v>
      </c>
      <c r="B14">
        <f>VLOOKUP(el_id,elements,2,FALSE)</f>
        <v>3</v>
      </c>
      <c r="J14" s="9">
        <v>0</v>
      </c>
      <c r="K14" s="14">
        <f>-K11</f>
        <v>-23624.999999999996</v>
      </c>
      <c r="L14" s="6">
        <f>-L11</f>
        <v>-47249.999999999993</v>
      </c>
      <c r="M14" s="14">
        <v>0</v>
      </c>
      <c r="N14" s="6">
        <f>K11</f>
        <v>23624.999999999996</v>
      </c>
      <c r="O14" s="10">
        <f>L14</f>
        <v>-47249.999999999993</v>
      </c>
      <c r="Q14">
        <v>-9.535649161065056E-4</v>
      </c>
      <c r="S14">
        <v>-3.4807765899417866</v>
      </c>
      <c r="T14">
        <f>B17*B11/2+B18</f>
        <v>-10</v>
      </c>
    </row>
    <row r="15" spans="1:22" ht="15.75" thickBot="1" x14ac:dyDescent="0.3">
      <c r="A15" t="s">
        <v>20</v>
      </c>
      <c r="B15">
        <f>VLOOKUP(el_id,elements,3,FALSE)</f>
        <v>4</v>
      </c>
      <c r="J15" s="4">
        <v>0</v>
      </c>
      <c r="K15" s="19">
        <f>L11</f>
        <v>47249.999999999993</v>
      </c>
      <c r="L15" s="11">
        <f>O12</f>
        <v>62999.999999999993</v>
      </c>
      <c r="M15" s="19">
        <v>0</v>
      </c>
      <c r="N15" s="11">
        <f>O14</f>
        <v>-47249.999999999993</v>
      </c>
      <c r="O15" s="5">
        <f>L12</f>
        <v>125999.99999999999</v>
      </c>
      <c r="Q15">
        <v>1.9009930171672357E-4</v>
      </c>
      <c r="S15">
        <v>38.038446820116583</v>
      </c>
      <c r="T15">
        <f>-T12</f>
        <v>6.666666666666667</v>
      </c>
    </row>
    <row r="16" spans="1:22" x14ac:dyDescent="0.25">
      <c r="A16" t="s">
        <v>36</v>
      </c>
      <c r="B16">
        <f>VLOOKUP(el_id,elements,7,FALSE)</f>
        <v>0</v>
      </c>
    </row>
    <row r="17" spans="1:20" ht="15.75" thickBot="1" x14ac:dyDescent="0.3">
      <c r="A17" t="s">
        <v>37</v>
      </c>
      <c r="B17">
        <f>VLOOKUP(el_id,elements,8,FALSE)</f>
        <v>-5</v>
      </c>
      <c r="J17" s="6">
        <f>VLOOKUP(B14,nodes,7,FALSE)</f>
        <v>3</v>
      </c>
      <c r="K17" s="6">
        <f>VLOOKUP(B14,nodes,8,FALSE)</f>
        <v>4</v>
      </c>
      <c r="L17" s="6">
        <f>VLOOKUP(B14,nodes,9,FALSE)</f>
        <v>5</v>
      </c>
      <c r="M17" s="6">
        <f>VLOOKUP(B15,nodes,7,FALSE)</f>
        <v>6</v>
      </c>
      <c r="N17" s="6">
        <f>VLOOKUP(B15,nodes,8,FALSE)</f>
        <v>7</v>
      </c>
      <c r="O17" s="6">
        <f>VLOOKUP(B15,nodes,9,FALSE)</f>
        <v>8</v>
      </c>
      <c r="Q17" s="6" t="s">
        <v>21</v>
      </c>
      <c r="R17" s="6"/>
      <c r="S17" t="s">
        <v>22</v>
      </c>
      <c r="T17" t="s">
        <v>42</v>
      </c>
    </row>
    <row r="18" spans="1:20" x14ac:dyDescent="0.25">
      <c r="A18" t="s">
        <v>38</v>
      </c>
      <c r="B18">
        <f>VLOOKUP(el_id,elements,9,FALSE)</f>
        <v>0</v>
      </c>
      <c r="J18" s="17">
        <f t="array" ref="J18:O23">MMULT(TRANSPOSE(T_Alfa),MMULT(K_Local,T_Alfa))</f>
        <v>1050000</v>
      </c>
      <c r="K18" s="8">
        <v>0</v>
      </c>
      <c r="L18" s="8">
        <v>0</v>
      </c>
      <c r="M18" s="8">
        <v>-1050000</v>
      </c>
      <c r="N18" s="8">
        <v>0</v>
      </c>
      <c r="O18" s="3">
        <v>0</v>
      </c>
      <c r="P18" s="6">
        <f>J17</f>
        <v>3</v>
      </c>
      <c r="Q18" s="6">
        <f t="shared" ref="Q18:Q23" si="4">VLOOKUP(P18,u_system,2,FALSE)</f>
        <v>1.3312110620391892E-3</v>
      </c>
      <c r="R18" s="6"/>
      <c r="S18">
        <f t="array" ref="S18:S23">MMULT(J18:O23,Q18:Q23)-T18:T23</f>
        <v>-30.000000000000455</v>
      </c>
      <c r="T18">
        <f t="array" ref="T18:T23">MMULT(TRANSPOSE(J2:O7),T10:T15)</f>
        <v>0</v>
      </c>
    </row>
    <row r="19" spans="1:20" x14ac:dyDescent="0.25">
      <c r="J19" s="9">
        <v>0</v>
      </c>
      <c r="K19" s="6">
        <v>23624.999999999996</v>
      </c>
      <c r="L19" s="6">
        <v>47249.999999999993</v>
      </c>
      <c r="M19" s="6">
        <v>0</v>
      </c>
      <c r="N19" s="6">
        <v>-23624.999999999996</v>
      </c>
      <c r="O19" s="10">
        <v>47249.999999999993</v>
      </c>
      <c r="P19" s="6">
        <f>K17</f>
        <v>4</v>
      </c>
      <c r="Q19" s="6">
        <f t="shared" si="4"/>
        <v>-1.6771983278529846E-5</v>
      </c>
      <c r="R19" s="6"/>
      <c r="S19">
        <v>23.480776589941787</v>
      </c>
      <c r="T19">
        <v>-10</v>
      </c>
    </row>
    <row r="20" spans="1:20" x14ac:dyDescent="0.25">
      <c r="J20" s="9">
        <v>0</v>
      </c>
      <c r="K20" s="6">
        <v>47249.999999999993</v>
      </c>
      <c r="L20" s="6">
        <v>125999.99999999999</v>
      </c>
      <c r="M20" s="6">
        <v>0</v>
      </c>
      <c r="N20" s="6">
        <v>-47249.999999999993</v>
      </c>
      <c r="O20" s="10">
        <v>62999.999999999993</v>
      </c>
      <c r="P20" s="6">
        <f>L17</f>
        <v>5</v>
      </c>
      <c r="Q20" s="6">
        <f t="shared" si="4"/>
        <v>-3.7318832707374243E-4</v>
      </c>
      <c r="R20" s="41" t="s">
        <v>40</v>
      </c>
      <c r="S20">
        <v>15.88465953965056</v>
      </c>
      <c r="T20">
        <v>-6.666666666666667</v>
      </c>
    </row>
    <row r="21" spans="1:20" x14ac:dyDescent="0.25">
      <c r="J21" s="9">
        <v>-1050000</v>
      </c>
      <c r="K21" s="6">
        <v>0</v>
      </c>
      <c r="L21" s="6">
        <v>0</v>
      </c>
      <c r="M21" s="6">
        <v>1050000</v>
      </c>
      <c r="N21" s="6">
        <v>0</v>
      </c>
      <c r="O21" s="10">
        <v>0</v>
      </c>
      <c r="P21" s="6">
        <f>M17</f>
        <v>6</v>
      </c>
      <c r="Q21" s="6">
        <f t="shared" si="4"/>
        <v>1.3597824906106182E-3</v>
      </c>
      <c r="R21" s="6"/>
      <c r="S21">
        <v>30.000000000000455</v>
      </c>
      <c r="T21">
        <v>0</v>
      </c>
    </row>
    <row r="22" spans="1:20" x14ac:dyDescent="0.25">
      <c r="J22" s="9">
        <v>0</v>
      </c>
      <c r="K22" s="6">
        <v>-23624.999999999996</v>
      </c>
      <c r="L22" s="6">
        <v>-47249.999999999993</v>
      </c>
      <c r="M22" s="6">
        <v>0</v>
      </c>
      <c r="N22" s="6">
        <v>23624.999999999996</v>
      </c>
      <c r="O22" s="10">
        <v>-47249.999999999993</v>
      </c>
      <c r="P22" s="6">
        <f>N17</f>
        <v>7</v>
      </c>
      <c r="Q22" s="6">
        <f t="shared" si="4"/>
        <v>-9.535649161065056E-4</v>
      </c>
      <c r="S22">
        <v>-3.4807765899417866</v>
      </c>
      <c r="T22">
        <v>-10</v>
      </c>
    </row>
    <row r="23" spans="1:20" ht="15.75" thickBot="1" x14ac:dyDescent="0.3">
      <c r="J23" s="4">
        <v>0</v>
      </c>
      <c r="K23" s="11">
        <v>47249.999999999993</v>
      </c>
      <c r="L23" s="11">
        <v>62999.999999999993</v>
      </c>
      <c r="M23" s="11">
        <v>0</v>
      </c>
      <c r="N23" s="11">
        <v>-47249.999999999993</v>
      </c>
      <c r="O23" s="5">
        <v>125999.99999999999</v>
      </c>
      <c r="P23" s="6">
        <f>O17</f>
        <v>8</v>
      </c>
      <c r="Q23" s="6">
        <f t="shared" si="4"/>
        <v>1.9009930171672357E-4</v>
      </c>
      <c r="S23">
        <v>38.038446820116583</v>
      </c>
      <c r="T23">
        <v>6.666666666666667</v>
      </c>
    </row>
    <row r="24" spans="1:20" x14ac:dyDescent="0.25">
      <c r="K24" s="16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7"/>
  <sheetViews>
    <sheetView topLeftCell="B1" zoomScaleNormal="100" workbookViewId="0">
      <selection activeCell="Q19" sqref="Q19"/>
    </sheetView>
  </sheetViews>
  <sheetFormatPr defaultRowHeight="15" x14ac:dyDescent="0.25"/>
  <cols>
    <col min="6" max="6" width="9.140625" style="1"/>
    <col min="8" max="9" width="9.140625" style="1"/>
    <col min="18" max="18" width="13.5703125" bestFit="1" customWidth="1"/>
  </cols>
  <sheetData>
    <row r="1" spans="1:20" x14ac:dyDescent="0.25">
      <c r="A1" s="38">
        <v>840912.36847872019</v>
      </c>
      <c r="B1" s="12">
        <v>-134408.12446995935</v>
      </c>
      <c r="C1" s="12">
        <v>0</v>
      </c>
      <c r="D1" s="12">
        <v>0</v>
      </c>
      <c r="E1" s="12">
        <v>0</v>
      </c>
      <c r="F1" s="26">
        <v>0</v>
      </c>
      <c r="G1" s="12">
        <v>0</v>
      </c>
      <c r="H1" s="26">
        <v>0</v>
      </c>
      <c r="I1" s="26">
        <v>-840912.36847872019</v>
      </c>
      <c r="J1" s="12">
        <v>992552.30377816153</v>
      </c>
      <c r="K1" s="12">
        <v>-134408.12446995935</v>
      </c>
      <c r="L1" s="28">
        <v>0</v>
      </c>
      <c r="M1" s="28">
        <v>0</v>
      </c>
      <c r="N1" s="28">
        <v>0</v>
      </c>
      <c r="O1" s="29">
        <v>-992552.30377816153</v>
      </c>
      <c r="P1" s="30">
        <v>1</v>
      </c>
      <c r="Q1">
        <f t="array" ref="Q1:Q11">MMULT(MINVERSE(A1:K11),T1:T11)</f>
        <v>2.8074890187804158E-3</v>
      </c>
      <c r="R1" s="30">
        <v>0</v>
      </c>
      <c r="S1">
        <v>0</v>
      </c>
      <c r="T1" s="27">
        <f>R1+S1</f>
        <v>0</v>
      </c>
    </row>
    <row r="2" spans="1:20" x14ac:dyDescent="0.25">
      <c r="A2" s="39">
        <v>-134408.12446995935</v>
      </c>
      <c r="B2" s="13">
        <v>194145.06867883017</v>
      </c>
      <c r="C2" s="13">
        <v>0</v>
      </c>
      <c r="D2" s="13">
        <v>0</v>
      </c>
      <c r="E2" s="13">
        <v>0</v>
      </c>
      <c r="F2" s="27">
        <v>0</v>
      </c>
      <c r="G2" s="13">
        <v>0</v>
      </c>
      <c r="H2" s="27">
        <v>0</v>
      </c>
      <c r="I2" s="27">
        <v>134408.12446995935</v>
      </c>
      <c r="J2" s="13">
        <v>89605.416313306239</v>
      </c>
      <c r="K2" s="13">
        <v>97072.534339415084</v>
      </c>
      <c r="L2" s="14">
        <v>0</v>
      </c>
      <c r="M2" s="14">
        <v>0</v>
      </c>
      <c r="N2" s="14">
        <v>0</v>
      </c>
      <c r="O2" s="18">
        <v>-89605.416313306239</v>
      </c>
      <c r="P2" s="30">
        <v>2</v>
      </c>
      <c r="Q2">
        <v>5.1024025457958486E-4</v>
      </c>
      <c r="R2" s="30">
        <v>0</v>
      </c>
      <c r="S2">
        <v>0</v>
      </c>
      <c r="T2" s="27">
        <f t="shared" ref="T2:T15" si="0">R2+S2</f>
        <v>0</v>
      </c>
    </row>
    <row r="3" spans="1:20" x14ac:dyDescent="0.25">
      <c r="A3" s="39">
        <v>0</v>
      </c>
      <c r="B3" s="13">
        <v>0</v>
      </c>
      <c r="C3" s="13">
        <v>1088888.888888889</v>
      </c>
      <c r="D3" s="13">
        <v>0</v>
      </c>
      <c r="E3" s="13">
        <v>58333.333333333321</v>
      </c>
      <c r="F3" s="27">
        <v>-1050000</v>
      </c>
      <c r="G3" s="13">
        <v>0</v>
      </c>
      <c r="H3" s="27">
        <v>0</v>
      </c>
      <c r="I3" s="27">
        <v>0</v>
      </c>
      <c r="J3" s="13">
        <v>0</v>
      </c>
      <c r="K3" s="13">
        <v>0</v>
      </c>
      <c r="L3" s="14">
        <v>-38888.888888888883</v>
      </c>
      <c r="M3" s="14">
        <v>0</v>
      </c>
      <c r="N3" s="14">
        <v>58333.333333333321</v>
      </c>
      <c r="O3" s="18">
        <v>0</v>
      </c>
      <c r="P3" s="30">
        <v>3</v>
      </c>
      <c r="Q3">
        <v>1.3312110620391892E-3</v>
      </c>
      <c r="R3" s="30">
        <v>0</v>
      </c>
      <c r="S3">
        <v>0</v>
      </c>
      <c r="T3" s="27">
        <f t="shared" si="0"/>
        <v>0</v>
      </c>
    </row>
    <row r="4" spans="1:20" x14ac:dyDescent="0.25">
      <c r="A4" s="39">
        <v>0</v>
      </c>
      <c r="B4" s="13">
        <v>0</v>
      </c>
      <c r="C4" s="13">
        <v>0</v>
      </c>
      <c r="D4" s="13">
        <v>1423625</v>
      </c>
      <c r="E4" s="13">
        <v>47249.999999999993</v>
      </c>
      <c r="F4" s="27">
        <v>0</v>
      </c>
      <c r="G4" s="13">
        <v>-23624.999999999996</v>
      </c>
      <c r="H4" s="27">
        <v>47249.999999999993</v>
      </c>
      <c r="I4" s="27">
        <v>0</v>
      </c>
      <c r="J4" s="13">
        <v>0</v>
      </c>
      <c r="K4" s="13">
        <v>0</v>
      </c>
      <c r="L4" s="14">
        <v>0</v>
      </c>
      <c r="M4" s="14">
        <v>-1400000</v>
      </c>
      <c r="N4" s="14">
        <v>0</v>
      </c>
      <c r="O4" s="18">
        <v>0</v>
      </c>
      <c r="P4" s="30">
        <v>4</v>
      </c>
      <c r="Q4">
        <v>-1.6771983278529846E-5</v>
      </c>
      <c r="R4" s="30">
        <v>0</v>
      </c>
      <c r="S4">
        <v>-10</v>
      </c>
      <c r="T4" s="27">
        <f t="shared" si="0"/>
        <v>-10</v>
      </c>
    </row>
    <row r="5" spans="1:20" x14ac:dyDescent="0.25">
      <c r="A5" s="39">
        <v>0</v>
      </c>
      <c r="B5" s="13">
        <v>0</v>
      </c>
      <c r="C5" s="13">
        <v>58333.333333333321</v>
      </c>
      <c r="D5" s="13">
        <v>47249.999999999993</v>
      </c>
      <c r="E5" s="13">
        <v>242666.66666666663</v>
      </c>
      <c r="F5" s="27">
        <v>0</v>
      </c>
      <c r="G5" s="13">
        <v>-47249.999999999993</v>
      </c>
      <c r="H5" s="27">
        <v>62999.999999999993</v>
      </c>
      <c r="I5" s="27">
        <v>0</v>
      </c>
      <c r="J5" s="13">
        <v>0</v>
      </c>
      <c r="K5" s="13">
        <v>0</v>
      </c>
      <c r="L5" s="14">
        <v>-58333.333333333321</v>
      </c>
      <c r="M5" s="14">
        <v>0</v>
      </c>
      <c r="N5" s="14">
        <v>58333.333333333321</v>
      </c>
      <c r="O5" s="18">
        <v>0</v>
      </c>
      <c r="P5" s="30">
        <v>5</v>
      </c>
      <c r="Q5">
        <v>-3.7318832707374243E-4</v>
      </c>
      <c r="R5" s="30">
        <v>50</v>
      </c>
      <c r="S5">
        <v>-6.666666666666667</v>
      </c>
      <c r="T5" s="27">
        <f t="shared" si="0"/>
        <v>43.333333333333336</v>
      </c>
    </row>
    <row r="6" spans="1:20" x14ac:dyDescent="0.25">
      <c r="A6" s="39">
        <v>0</v>
      </c>
      <c r="B6" s="13">
        <v>0</v>
      </c>
      <c r="C6" s="13">
        <v>-1050000</v>
      </c>
      <c r="D6" s="13">
        <v>0</v>
      </c>
      <c r="E6" s="13">
        <v>0</v>
      </c>
      <c r="F6" s="27">
        <v>1890912.3684787201</v>
      </c>
      <c r="G6" s="13">
        <v>-992552.30377816153</v>
      </c>
      <c r="H6" s="27">
        <v>134408.12446995935</v>
      </c>
      <c r="I6" s="27">
        <v>-840912.36847872019</v>
      </c>
      <c r="J6" s="13">
        <v>992552.30377816153</v>
      </c>
      <c r="K6" s="13">
        <v>134408.12446995935</v>
      </c>
      <c r="L6" s="14">
        <v>0</v>
      </c>
      <c r="M6" s="14">
        <v>0</v>
      </c>
      <c r="N6" s="14">
        <v>0</v>
      </c>
      <c r="O6" s="18">
        <v>0</v>
      </c>
      <c r="P6" s="30">
        <v>6</v>
      </c>
      <c r="Q6">
        <v>1.3597824906106182E-3</v>
      </c>
      <c r="R6" s="30">
        <v>0</v>
      </c>
      <c r="S6">
        <v>0</v>
      </c>
      <c r="T6" s="27">
        <f t="shared" si="0"/>
        <v>0</v>
      </c>
    </row>
    <row r="7" spans="1:20" x14ac:dyDescent="0.25">
      <c r="A7" s="39">
        <v>0</v>
      </c>
      <c r="B7" s="13">
        <v>0</v>
      </c>
      <c r="C7" s="13">
        <v>0</v>
      </c>
      <c r="D7" s="13">
        <v>-23624.999999999996</v>
      </c>
      <c r="E7" s="13">
        <v>-47249.999999999993</v>
      </c>
      <c r="F7" s="27">
        <v>-992552.30377816153</v>
      </c>
      <c r="G7" s="13">
        <v>1691664.288293855</v>
      </c>
      <c r="H7" s="27">
        <v>42355.416313306247</v>
      </c>
      <c r="I7" s="27">
        <v>992552.30377816153</v>
      </c>
      <c r="J7" s="13">
        <v>-1668039.288293855</v>
      </c>
      <c r="K7" s="13">
        <v>89605.416313306239</v>
      </c>
      <c r="L7" s="14">
        <v>0</v>
      </c>
      <c r="M7" s="14">
        <v>0</v>
      </c>
      <c r="N7" s="14">
        <v>0</v>
      </c>
      <c r="O7" s="18">
        <v>0</v>
      </c>
      <c r="P7" s="30">
        <v>7</v>
      </c>
      <c r="Q7" s="30">
        <v>-9.535649161065056E-4</v>
      </c>
      <c r="R7" s="43">
        <v>0</v>
      </c>
      <c r="S7">
        <v>-10</v>
      </c>
      <c r="T7" s="27">
        <f t="shared" si="0"/>
        <v>-10</v>
      </c>
    </row>
    <row r="8" spans="1:20" x14ac:dyDescent="0.25">
      <c r="A8" s="39">
        <v>0</v>
      </c>
      <c r="B8" s="13">
        <v>0</v>
      </c>
      <c r="C8" s="13">
        <v>0</v>
      </c>
      <c r="D8" s="13">
        <v>47249.999999999993</v>
      </c>
      <c r="E8" s="13">
        <v>62999.999999999993</v>
      </c>
      <c r="F8" s="27">
        <v>134408.12446995935</v>
      </c>
      <c r="G8" s="13">
        <v>42355.416313306247</v>
      </c>
      <c r="H8" s="27">
        <v>320145.06867883017</v>
      </c>
      <c r="I8" s="27">
        <v>-134408.12446995935</v>
      </c>
      <c r="J8" s="13">
        <v>-89605.416313306239</v>
      </c>
      <c r="K8" s="13">
        <v>97072.534339415084</v>
      </c>
      <c r="L8" s="14">
        <v>0</v>
      </c>
      <c r="M8" s="14">
        <v>0</v>
      </c>
      <c r="N8" s="14">
        <v>0</v>
      </c>
      <c r="O8" s="18">
        <v>0</v>
      </c>
      <c r="P8" s="30">
        <v>8</v>
      </c>
      <c r="Q8" s="30">
        <v>1.9009930171672357E-4</v>
      </c>
      <c r="R8" s="43">
        <v>0</v>
      </c>
      <c r="S8">
        <v>6.666666666666667</v>
      </c>
      <c r="T8" s="27">
        <f t="shared" si="0"/>
        <v>6.666666666666667</v>
      </c>
    </row>
    <row r="9" spans="1:20" x14ac:dyDescent="0.25">
      <c r="A9" s="39">
        <v>-840912.36847872019</v>
      </c>
      <c r="B9" s="13">
        <v>134408.12446995935</v>
      </c>
      <c r="C9" s="13">
        <v>0</v>
      </c>
      <c r="D9" s="13">
        <v>0</v>
      </c>
      <c r="E9" s="13">
        <v>0</v>
      </c>
      <c r="F9" s="27">
        <v>-840912.36847872019</v>
      </c>
      <c r="G9" s="13">
        <v>992552.30377816153</v>
      </c>
      <c r="H9" s="27">
        <v>-134408.12446995935</v>
      </c>
      <c r="I9" s="27">
        <v>1681824.7369574404</v>
      </c>
      <c r="J9" s="13">
        <v>-1985104.6075563231</v>
      </c>
      <c r="K9" s="13">
        <v>0</v>
      </c>
      <c r="L9" s="14">
        <v>0</v>
      </c>
      <c r="M9" s="14">
        <v>0</v>
      </c>
      <c r="N9" s="14">
        <v>0</v>
      </c>
      <c r="O9" s="18">
        <v>992552.30377816153</v>
      </c>
      <c r="P9" s="30">
        <v>9</v>
      </c>
      <c r="Q9" s="30">
        <v>2.0235103292855624E-3</v>
      </c>
      <c r="R9" s="43">
        <v>30</v>
      </c>
      <c r="S9">
        <v>0</v>
      </c>
      <c r="T9" s="27">
        <f t="shared" si="0"/>
        <v>30</v>
      </c>
    </row>
    <row r="10" spans="1:20" x14ac:dyDescent="0.25">
      <c r="A10" s="39">
        <v>992552.30377816153</v>
      </c>
      <c r="B10" s="13">
        <v>89605.416313306239</v>
      </c>
      <c r="C10" s="13">
        <v>0</v>
      </c>
      <c r="D10" s="13">
        <v>0</v>
      </c>
      <c r="E10" s="13">
        <v>0</v>
      </c>
      <c r="F10" s="27">
        <v>992552.30377816153</v>
      </c>
      <c r="G10" s="13">
        <v>-1668039.288293855</v>
      </c>
      <c r="H10" s="27">
        <v>-89605.416313306239</v>
      </c>
      <c r="I10" s="27">
        <v>-1985104.6075563231</v>
      </c>
      <c r="J10" s="13">
        <v>3336078.5765877101</v>
      </c>
      <c r="K10" s="13">
        <v>0</v>
      </c>
      <c r="L10" s="14">
        <v>0</v>
      </c>
      <c r="M10" s="14">
        <v>0</v>
      </c>
      <c r="N10" s="14">
        <v>0</v>
      </c>
      <c r="O10" s="18">
        <v>-1668039.288293855</v>
      </c>
      <c r="P10" s="30">
        <v>10</v>
      </c>
      <c r="Q10" s="30">
        <v>-5.2115839794020333E-4</v>
      </c>
      <c r="R10" s="43">
        <v>0</v>
      </c>
      <c r="S10">
        <v>0</v>
      </c>
      <c r="T10" s="27">
        <f t="shared" si="0"/>
        <v>0</v>
      </c>
    </row>
    <row r="11" spans="1:20" x14ac:dyDescent="0.25">
      <c r="A11" s="39">
        <v>-134408.12446995935</v>
      </c>
      <c r="B11" s="13">
        <v>97072.534339415084</v>
      </c>
      <c r="C11" s="13">
        <v>0</v>
      </c>
      <c r="D11" s="13">
        <v>0</v>
      </c>
      <c r="E11" s="13">
        <v>0</v>
      </c>
      <c r="F11" s="27">
        <v>134408.12446995935</v>
      </c>
      <c r="G11" s="13">
        <v>89605.416313306239</v>
      </c>
      <c r="H11" s="27">
        <v>97072.534339415084</v>
      </c>
      <c r="I11" s="27">
        <v>0</v>
      </c>
      <c r="J11" s="13">
        <v>0</v>
      </c>
      <c r="K11" s="13">
        <v>388290.13735766034</v>
      </c>
      <c r="L11" s="6">
        <v>0</v>
      </c>
      <c r="M11" s="6">
        <v>0</v>
      </c>
      <c r="N11" s="6">
        <v>0</v>
      </c>
      <c r="O11" s="10">
        <v>-89605.416313306239</v>
      </c>
      <c r="P11" s="30">
        <v>11</v>
      </c>
      <c r="Q11" s="30">
        <v>5.4609773593235439E-4</v>
      </c>
      <c r="R11" s="43">
        <v>0</v>
      </c>
      <c r="S11">
        <v>0</v>
      </c>
      <c r="T11" s="27">
        <f t="shared" si="0"/>
        <v>0</v>
      </c>
    </row>
    <row r="12" spans="1:20" x14ac:dyDescent="0.25">
      <c r="A12" s="9">
        <v>0</v>
      </c>
      <c r="B12" s="6">
        <v>0</v>
      </c>
      <c r="C12" s="6">
        <v>-38888.888888888883</v>
      </c>
      <c r="D12" s="6">
        <v>0</v>
      </c>
      <c r="E12" s="6">
        <v>-58333.333333333321</v>
      </c>
      <c r="F12" s="7">
        <v>0</v>
      </c>
      <c r="G12" s="6">
        <v>0</v>
      </c>
      <c r="H12" s="7">
        <v>0</v>
      </c>
      <c r="I12" s="7">
        <v>0</v>
      </c>
      <c r="J12" s="6">
        <v>0</v>
      </c>
      <c r="K12" s="6">
        <v>0</v>
      </c>
      <c r="L12" s="6">
        <v>38888.888888888883</v>
      </c>
      <c r="M12" s="6">
        <v>0</v>
      </c>
      <c r="N12" s="6">
        <v>-58333.333333333321</v>
      </c>
      <c r="O12" s="10">
        <v>0</v>
      </c>
      <c r="P12" s="30">
        <v>12</v>
      </c>
      <c r="Q12" s="14">
        <v>0</v>
      </c>
      <c r="R12">
        <f t="array" ref="R12:R15">MMULT(A12:K15,Q1:Q11)-S12:S15</f>
        <v>-30.000000000000156</v>
      </c>
      <c r="S12">
        <v>0</v>
      </c>
      <c r="T12" s="27">
        <f t="shared" si="0"/>
        <v>-30.000000000000156</v>
      </c>
    </row>
    <row r="13" spans="1:20" x14ac:dyDescent="0.25">
      <c r="A13" s="9">
        <v>0</v>
      </c>
      <c r="B13" s="6">
        <v>0</v>
      </c>
      <c r="C13" s="6">
        <v>0</v>
      </c>
      <c r="D13" s="6">
        <v>-1400000</v>
      </c>
      <c r="E13" s="6">
        <v>0</v>
      </c>
      <c r="F13" s="7">
        <v>0</v>
      </c>
      <c r="G13" s="6">
        <v>0</v>
      </c>
      <c r="H13" s="7">
        <v>0</v>
      </c>
      <c r="I13" s="7">
        <v>0</v>
      </c>
      <c r="J13" s="6">
        <v>0</v>
      </c>
      <c r="K13" s="6">
        <v>0</v>
      </c>
      <c r="L13" s="6">
        <v>0</v>
      </c>
      <c r="M13" s="6">
        <v>1400000</v>
      </c>
      <c r="N13" s="6">
        <v>0</v>
      </c>
      <c r="O13" s="10">
        <v>0</v>
      </c>
      <c r="P13" s="30">
        <v>13</v>
      </c>
      <c r="Q13" s="14">
        <v>0</v>
      </c>
      <c r="R13">
        <v>23.480776589941783</v>
      </c>
      <c r="S13">
        <v>0</v>
      </c>
      <c r="T13" s="27">
        <f t="shared" si="0"/>
        <v>23.480776589941783</v>
      </c>
    </row>
    <row r="14" spans="1:20" x14ac:dyDescent="0.25">
      <c r="A14" s="9">
        <v>0</v>
      </c>
      <c r="B14" s="6">
        <v>0</v>
      </c>
      <c r="C14" s="6">
        <v>58333.333333333321</v>
      </c>
      <c r="D14" s="6">
        <v>0</v>
      </c>
      <c r="E14" s="6">
        <v>58333.333333333321</v>
      </c>
      <c r="F14" s="7">
        <v>0</v>
      </c>
      <c r="G14" s="6">
        <v>0</v>
      </c>
      <c r="H14" s="7">
        <v>0</v>
      </c>
      <c r="I14" s="7">
        <v>0</v>
      </c>
      <c r="J14" s="6">
        <v>0</v>
      </c>
      <c r="K14" s="6">
        <v>0</v>
      </c>
      <c r="L14" s="6">
        <v>-58333.333333333321</v>
      </c>
      <c r="M14" s="6">
        <v>0</v>
      </c>
      <c r="N14" s="6">
        <v>116666.66666666664</v>
      </c>
      <c r="O14" s="10">
        <v>0</v>
      </c>
      <c r="P14" s="30">
        <v>14</v>
      </c>
      <c r="Q14" s="14">
        <v>0</v>
      </c>
      <c r="R14">
        <v>55.884659539651054</v>
      </c>
      <c r="S14">
        <v>0</v>
      </c>
      <c r="T14" s="27">
        <f t="shared" si="0"/>
        <v>55.884659539651054</v>
      </c>
    </row>
    <row r="15" spans="1:20" ht="15.75" thickBot="1" x14ac:dyDescent="0.3">
      <c r="A15" s="4">
        <v>-992552.30377816153</v>
      </c>
      <c r="B15" s="11">
        <v>-89605.416313306239</v>
      </c>
      <c r="C15" s="11">
        <v>0</v>
      </c>
      <c r="D15" s="11">
        <v>0</v>
      </c>
      <c r="E15" s="11">
        <v>0</v>
      </c>
      <c r="F15" s="40">
        <v>0</v>
      </c>
      <c r="G15" s="11">
        <v>0</v>
      </c>
      <c r="H15" s="40">
        <v>0</v>
      </c>
      <c r="I15" s="40">
        <v>992552.30377816153</v>
      </c>
      <c r="J15" s="11">
        <v>-1668039.288293855</v>
      </c>
      <c r="K15" s="11">
        <v>-89605.416313306239</v>
      </c>
      <c r="L15" s="11">
        <v>0</v>
      </c>
      <c r="M15" s="11">
        <v>0</v>
      </c>
      <c r="N15" s="11">
        <v>0</v>
      </c>
      <c r="O15" s="5">
        <v>1668039.288293855</v>
      </c>
      <c r="P15" s="30">
        <v>15</v>
      </c>
      <c r="Q15" s="14">
        <v>0</v>
      </c>
      <c r="R15">
        <v>-3.4807765899418825</v>
      </c>
      <c r="S15">
        <v>0</v>
      </c>
      <c r="T15" s="27">
        <f t="shared" si="0"/>
        <v>-3.4807765899418825</v>
      </c>
    </row>
    <row r="17" spans="7:20" s="2" customFormat="1" x14ac:dyDescent="0.25">
      <c r="G17" s="2" t="s">
        <v>43</v>
      </c>
      <c r="Q17" s="2" t="s">
        <v>44</v>
      </c>
      <c r="R17" s="2" t="s">
        <v>45</v>
      </c>
      <c r="S17" s="2" t="s">
        <v>46</v>
      </c>
      <c r="T17" s="2" t="s">
        <v>47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SEC</vt:lpstr>
      <vt:lpstr>NT</vt:lpstr>
      <vt:lpstr>ET</vt:lpstr>
      <vt:lpstr>ESM</vt:lpstr>
      <vt:lpstr>SystemMatrix</vt:lpstr>
      <vt:lpstr>code_vector</vt:lpstr>
      <vt:lpstr>el_count</vt:lpstr>
      <vt:lpstr>el_id</vt:lpstr>
      <vt:lpstr>element_matrix</vt:lpstr>
      <vt:lpstr>elements</vt:lpstr>
      <vt:lpstr>K_Local</vt:lpstr>
      <vt:lpstr>nodes</vt:lpstr>
      <vt:lpstr>q_element</vt:lpstr>
      <vt:lpstr>q_system</vt:lpstr>
      <vt:lpstr>sections</vt:lpstr>
      <vt:lpstr>system_matrix</vt:lpstr>
      <vt:lpstr>T_Alfa</vt:lpstr>
      <vt:lpstr>u_system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2020-02-25T13:30:40Z</dcterms:created>
  <dcterms:modified xsi:type="dcterms:W3CDTF">2020-03-22T10:55:00Z</dcterms:modified>
</cp:coreProperties>
</file>
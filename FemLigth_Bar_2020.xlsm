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cro\Desktop\"/>
    </mc:Choice>
  </mc:AlternateContent>
  <bookViews>
    <workbookView xWindow="0" yWindow="0" windowWidth="20490" windowHeight="7620" activeTab="2"/>
  </bookViews>
  <sheets>
    <sheet name="NT" sheetId="1" r:id="rId1"/>
    <sheet name="ET" sheetId="2" r:id="rId2"/>
    <sheet name="ESM" sheetId="3" r:id="rId3"/>
    <sheet name="SystemMatrix" sheetId="4" r:id="rId4"/>
  </sheets>
  <definedNames>
    <definedName name="code_vector">ESM!$D$3:$E$3</definedName>
    <definedName name="el_count">ESM!$B$2</definedName>
    <definedName name="el_id">ESM!$B$1</definedName>
    <definedName name="element_matrix">ESM!$D$4:$E$5</definedName>
    <definedName name="elements">ET!$A:$H</definedName>
    <definedName name="nodes">NT!$A:$F</definedName>
    <definedName name="q_element">ESM!$J$4:$J$5</definedName>
    <definedName name="q_system">SystemMatrix!$I$1:$I$4</definedName>
    <definedName name="system_matrix">SystemMatrix!$A$1:$D$4</definedName>
    <definedName name="u_system">SystemMatrix!$E$1:$F$4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4" l="1" a="1"/>
  <c r="F1" i="4" s="1"/>
  <c r="B2" i="3"/>
  <c r="B6" i="3"/>
  <c r="E3" i="3"/>
  <c r="F5" i="3" s="1"/>
  <c r="G5" i="3" s="1"/>
  <c r="D3" i="3"/>
  <c r="F4" i="3" s="1"/>
  <c r="G4" i="3" s="1"/>
  <c r="B3" i="3"/>
  <c r="B4" i="3"/>
  <c r="H3" i="2"/>
  <c r="H4" i="2"/>
  <c r="H2" i="2"/>
  <c r="G3" i="2"/>
  <c r="G4" i="2"/>
  <c r="G2" i="2"/>
  <c r="F3" i="2"/>
  <c r="F4" i="2"/>
  <c r="F2" i="2"/>
  <c r="F2" i="4" l="1"/>
  <c r="H3" i="4" s="1" a="1"/>
  <c r="H4" i="4" s="1"/>
  <c r="B7" i="3"/>
  <c r="J4" i="3" s="1"/>
  <c r="J5" i="3" s="1"/>
  <c r="B5" i="3"/>
  <c r="H3" i="4" l="1"/>
  <c r="E4" i="3"/>
  <c r="D5" i="3" s="1"/>
  <c r="D4" i="3"/>
  <c r="E5" i="3" l="1"/>
  <c r="H4" i="3" s="1" a="1"/>
  <c r="H4" i="3" l="1"/>
  <c r="H5" i="3"/>
  <c r="E9" i="3" l="1"/>
  <c r="E13" i="3"/>
  <c r="E10" i="3"/>
  <c r="E11" i="3"/>
  <c r="E12" i="3"/>
  <c r="E14" i="3"/>
  <c r="E8" i="3"/>
</calcChain>
</file>

<file path=xl/sharedStrings.xml><?xml version="1.0" encoding="utf-8"?>
<sst xmlns="http://schemas.openxmlformats.org/spreadsheetml/2006/main" count="32" uniqueCount="28">
  <si>
    <t>ID</t>
  </si>
  <si>
    <t>X</t>
  </si>
  <si>
    <t>rx</t>
  </si>
  <si>
    <t>Px</t>
  </si>
  <si>
    <t>dof_x</t>
  </si>
  <si>
    <t>ux</t>
  </si>
  <si>
    <t>n_start</t>
  </si>
  <si>
    <t>n_end</t>
  </si>
  <si>
    <t>EA</t>
  </si>
  <si>
    <t>L</t>
  </si>
  <si>
    <t>qx0</t>
  </si>
  <si>
    <t>EA/L</t>
  </si>
  <si>
    <t>c1</t>
  </si>
  <si>
    <t>c2</t>
  </si>
  <si>
    <t>Element ID</t>
  </si>
  <si>
    <t>KE</t>
  </si>
  <si>
    <t>ue</t>
  </si>
  <si>
    <t>qe</t>
  </si>
  <si>
    <t>Qe</t>
  </si>
  <si>
    <t>qx0 * L / 2</t>
  </si>
  <si>
    <t>+</t>
  </si>
  <si>
    <t>KS</t>
  </si>
  <si>
    <t>u</t>
  </si>
  <si>
    <t>P</t>
  </si>
  <si>
    <t>q</t>
  </si>
  <si>
    <t>NUM_OF_EL</t>
  </si>
  <si>
    <t>N(x)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</si>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</sst>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quotePrefix="1" applyFont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0" xfId="0" applyFill="1" applyBorder="1"/>
    <xf numFmtId="0" fontId="0" fillId="2" borderId="0" xfId="0" applyFill="1" applyAlignment="1">
      <alignment horizontal="center"/>
    </xf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ESM!$E$7</c:f>
              <c:strCache>
                <c:ptCount val="1"/>
                <c:pt idx="0">
                  <c:v>N(x)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ESM!$D$8:$D$14</c:f>
              <c:numCache>
                <c:formatCode>General</c:formatCode>
                <c:ptCount val="7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</c:numCache>
            </c:numRef>
          </c:xVal>
          <c:yVal>
            <c:numRef>
              <c:f>ESM!$E$8:$E$14</c:f>
              <c:numCache>
                <c:formatCode>General</c:formatCode>
                <c:ptCount val="7"/>
                <c:pt idx="0">
                  <c:v>22.545454545454543</c:v>
                </c:pt>
                <c:pt idx="1">
                  <c:v>24.545454545454543</c:v>
                </c:pt>
                <c:pt idx="2">
                  <c:v>26.545454545454543</c:v>
                </c:pt>
                <c:pt idx="3">
                  <c:v>28.545454545454543</c:v>
                </c:pt>
                <c:pt idx="4">
                  <c:v>30.545454545454543</c:v>
                </c:pt>
                <c:pt idx="5">
                  <c:v>32.545454545454547</c:v>
                </c:pt>
                <c:pt idx="6">
                  <c:v>34.545454545454547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3A-4EAF-B86E-65AA7DF2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973055"/>
        <c:axId val="319973887"/>
      </c:scatterChart>
      <c:valAx>
        <c:axId val="319973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73887"/>
        <c:crosses val="autoZero"/>
        <c:crossBetween val="midCat"/>
      </c:valAx>
      <c:valAx>
        <c:axId val="319973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730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150395</xdr:colOff>
      <xdr:row>6</xdr:row>
      <xdr:rowOff>150395</xdr:rowOff>
    </xdr:from>
    <xdr:to>
      <xdr:col>8</xdr:col>
      <xdr:colOff>260684</xdr:colOff>
      <xdr:row>13</xdr:row>
      <xdr:rowOff>30079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zoomScale="220" zoomScaleNormal="220" workbookViewId="0">
      <selection activeCell="A2" sqref="A2:A5"/>
    </sheetView>
  </sheetViews>
  <sheetFormatPr defaultRowHeight="15" x14ac:dyDescent="0.25"/>
  <cols>
    <col min="1" max="16384" width="9.140625" style="1"/>
  </cols>
  <sheetData>
    <row r="1" spans="1:6" s="2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6" x14ac:dyDescent="0.25">
      <c r="A2" s="1">
        <v>1</v>
      </c>
      <c r="B2" s="1">
        <v>4</v>
      </c>
      <c r="C2" s="1">
        <v>1</v>
      </c>
      <c r="E2" s="1">
        <v>3</v>
      </c>
      <c r="F2" s="1">
        <v>1E-3</v>
      </c>
    </row>
    <row r="3" spans="1:6" x14ac:dyDescent="0.25">
      <c r="A3" s="1">
        <v>2</v>
      </c>
      <c r="B3" s="1">
        <v>6</v>
      </c>
      <c r="C3" s="1">
        <v>0</v>
      </c>
      <c r="D3" s="1">
        <v>-50</v>
      </c>
      <c r="E3" s="1">
        <v>1</v>
      </c>
    </row>
    <row r="4" spans="1:6" x14ac:dyDescent="0.25">
      <c r="A4" s="1">
        <v>3</v>
      </c>
      <c r="B4" s="1">
        <v>9</v>
      </c>
      <c r="C4" s="1">
        <v>0</v>
      </c>
      <c r="D4" s="1">
        <v>30</v>
      </c>
      <c r="E4" s="1">
        <v>2</v>
      </c>
    </row>
    <row r="5" spans="1:6" x14ac:dyDescent="0.25">
      <c r="A5" s="1">
        <v>4</v>
      </c>
      <c r="B5" s="1">
        <v>11</v>
      </c>
      <c r="C5" s="1">
        <v>1</v>
      </c>
      <c r="E5" s="1">
        <v>4</v>
      </c>
      <c r="F5" s="1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"/>
  <sheetViews>
    <sheetView zoomScale="205" zoomScaleNormal="205" workbookViewId="0">
      <selection activeCell="E5" sqref="E5"/>
    </sheetView>
  </sheetViews>
  <sheetFormatPr defaultRowHeight="15" x14ac:dyDescent="0.25"/>
  <cols>
    <col min="1" max="16384" width="9.140625" style="1"/>
  </cols>
  <sheetData>
    <row r="1" spans="1:8" s="2" customFormat="1" x14ac:dyDescent="0.25">
      <c r="A1" s="2" t="s">
        <v>0</v>
      </c>
      <c r="B1" s="2" t="s">
        <v>6</v>
      </c>
      <c r="C1" s="2" t="s">
        <v>7</v>
      </c>
      <c r="D1" s="2" t="s">
        <v>8</v>
      </c>
      <c r="E1" s="2" t="s">
        <v>10</v>
      </c>
      <c r="F1" s="2" t="s">
        <v>9</v>
      </c>
      <c r="G1" s="2" t="s">
        <v>12</v>
      </c>
      <c r="H1" s="2" t="s">
        <v>13</v>
      </c>
    </row>
    <row r="2" spans="1:8" x14ac:dyDescent="0.25">
      <c r="A2" s="1">
        <v>1</v>
      </c>
      <c r="B2" s="1">
        <v>1</v>
      </c>
      <c r="C2" s="1">
        <v>2</v>
      </c>
      <c r="D2" s="1">
        <v>3000</v>
      </c>
      <c r="E2" s="1">
        <v>0</v>
      </c>
      <c r="F2" s="1">
        <f>VLOOKUP(C2,nodes, 2,FALSE)-VLOOKUP(B2,nodes,2,FALSE)</f>
        <v>2</v>
      </c>
      <c r="G2" s="1">
        <f>VLOOKUP(B2,nodes,5, FALSE)</f>
        <v>3</v>
      </c>
      <c r="H2" s="1">
        <f>VLOOKUP(C2,nodes,5,FALSE)</f>
        <v>1</v>
      </c>
    </row>
    <row r="3" spans="1:8" x14ac:dyDescent="0.25">
      <c r="A3" s="1">
        <v>2</v>
      </c>
      <c r="B3" s="1">
        <v>2</v>
      </c>
      <c r="C3" s="1">
        <v>3</v>
      </c>
      <c r="D3" s="1">
        <v>6000</v>
      </c>
      <c r="E3" s="1">
        <v>-4</v>
      </c>
      <c r="F3" s="1">
        <f>VLOOKUP(C3,nodes, 2,FALSE)-VLOOKUP(B3,nodes,2,FALSE)</f>
        <v>3</v>
      </c>
      <c r="G3" s="1">
        <f>VLOOKUP(B3,nodes,5, FALSE)</f>
        <v>1</v>
      </c>
      <c r="H3" s="1">
        <f>VLOOKUP(C3,nodes,5,FALSE)</f>
        <v>2</v>
      </c>
    </row>
    <row r="4" spans="1:8" x14ac:dyDescent="0.25">
      <c r="A4" s="1">
        <v>3</v>
      </c>
      <c r="B4" s="1">
        <v>3</v>
      </c>
      <c r="C4" s="1">
        <v>4</v>
      </c>
      <c r="D4" s="1">
        <v>3000</v>
      </c>
      <c r="E4" s="1">
        <v>0</v>
      </c>
      <c r="F4" s="1">
        <f>VLOOKUP(C4,nodes, 2,FALSE)-VLOOKUP(B4,nodes,2,FALSE)</f>
        <v>2</v>
      </c>
      <c r="G4" s="1">
        <f>VLOOKUP(B4,nodes,5, FALSE)</f>
        <v>2</v>
      </c>
      <c r="H4" s="1">
        <f>VLOOKUP(C4,nodes,5,FALSE)</f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4"/>
  <sheetViews>
    <sheetView tabSelected="1" zoomScale="190" zoomScaleNormal="190" workbookViewId="0">
      <selection activeCell="C1" sqref="C1"/>
    </sheetView>
  </sheetViews>
  <sheetFormatPr defaultRowHeight="15" x14ac:dyDescent="0.25"/>
  <cols>
    <col min="1" max="1" width="11.85546875" bestFit="1" customWidth="1"/>
  </cols>
  <sheetData>
    <row r="1" spans="1:10" x14ac:dyDescent="0.25">
      <c r="A1" t="s">
        <v>14</v>
      </c>
      <c r="B1">
        <v>2</v>
      </c>
    </row>
    <row r="2" spans="1:10" x14ac:dyDescent="0.25">
      <c r="A2" t="s">
        <v>25</v>
      </c>
      <c r="B2">
        <f>COUNT(ET!A:A)</f>
        <v>3</v>
      </c>
      <c r="D2" s="2" t="s">
        <v>15</v>
      </c>
      <c r="E2" s="2"/>
      <c r="G2" s="2" t="s">
        <v>16</v>
      </c>
      <c r="H2" s="2" t="s">
        <v>18</v>
      </c>
      <c r="I2" s="9" t="s">
        <v>20</v>
      </c>
      <c r="J2" s="2" t="s">
        <v>17</v>
      </c>
    </row>
    <row r="3" spans="1:10" x14ac:dyDescent="0.25">
      <c r="A3" t="s">
        <v>8</v>
      </c>
      <c r="B3">
        <f>VLOOKUP(el_id, elements, 4, FALSE)</f>
        <v>6000</v>
      </c>
      <c r="D3" s="1">
        <f>VLOOKUP(el_id,elements,7,FALSE)</f>
        <v>1</v>
      </c>
      <c r="E3" s="1">
        <f>VLOOKUP(el_id,elements,8,FALSE)</f>
        <v>2</v>
      </c>
      <c r="F3" s="1"/>
      <c r="G3" s="1"/>
    </row>
    <row r="4" spans="1:10" x14ac:dyDescent="0.25">
      <c r="A4" t="s">
        <v>9</v>
      </c>
      <c r="B4">
        <f>VLOOKUP(el_id,elements,6,FALSE)</f>
        <v>3</v>
      </c>
      <c r="D4" s="6">
        <f>B5</f>
        <v>2000</v>
      </c>
      <c r="E4" s="6">
        <f>-B5</f>
        <v>-2000</v>
      </c>
      <c r="F4" s="1">
        <f>D3</f>
        <v>1</v>
      </c>
      <c r="G4" s="1">
        <f>VLOOKUP(F4,u_system,2,FALSE)</f>
        <v>-1.7303030303030303E-2</v>
      </c>
      <c r="H4" s="6">
        <f t="array" ref="H4:H5">MMULT(D4:E5,G4:G5)-J4:J5</f>
        <v>-22.545454545454543</v>
      </c>
      <c r="I4" s="8"/>
      <c r="J4" s="6">
        <f>B7</f>
        <v>-6</v>
      </c>
    </row>
    <row r="5" spans="1:10" x14ac:dyDescent="0.25">
      <c r="A5" t="s">
        <v>11</v>
      </c>
      <c r="B5">
        <f>B3/B4</f>
        <v>2000</v>
      </c>
      <c r="D5" s="6">
        <f>E4</f>
        <v>-2000</v>
      </c>
      <c r="E5" s="6">
        <f>D4</f>
        <v>2000</v>
      </c>
      <c r="F5" s="1">
        <f>E3</f>
        <v>2</v>
      </c>
      <c r="G5" s="1">
        <f>VLOOKUP(F5,u_system,2,FALSE)</f>
        <v>-3.030303030303029E-3</v>
      </c>
      <c r="H5" s="6">
        <v>34.545454545454547</v>
      </c>
      <c r="I5" s="8"/>
      <c r="J5" s="6">
        <f>J4</f>
        <v>-6</v>
      </c>
    </row>
    <row r="6" spans="1:10" x14ac:dyDescent="0.25">
      <c r="A6" t="s">
        <v>10</v>
      </c>
      <c r="B6">
        <f>VLOOKUP(el_id,elements,5,FALSE)</f>
        <v>-4</v>
      </c>
    </row>
    <row r="7" spans="1:10" x14ac:dyDescent="0.25">
      <c r="A7" t="s">
        <v>19</v>
      </c>
      <c r="B7">
        <f>B6*B4/2</f>
        <v>-6</v>
      </c>
      <c r="D7" t="s">
        <v>27</v>
      </c>
      <c r="E7" t="s">
        <v>26</v>
      </c>
    </row>
    <row r="8" spans="1:10" x14ac:dyDescent="0.25">
      <c r="D8">
        <v>0</v>
      </c>
      <c r="E8">
        <f>-$H$4-$B$6*D8</f>
        <v>22.545454545454543</v>
      </c>
    </row>
    <row r="9" spans="1:10" x14ac:dyDescent="0.25">
      <c r="D9">
        <v>0.5</v>
      </c>
      <c r="E9">
        <f t="shared" ref="E9:E14" si="0">-$H$4-$B$6*D9</f>
        <v>24.545454545454543</v>
      </c>
    </row>
    <row r="10" spans="1:10" x14ac:dyDescent="0.25">
      <c r="D10">
        <v>1</v>
      </c>
      <c r="E10">
        <f t="shared" si="0"/>
        <v>26.545454545454543</v>
      </c>
    </row>
    <row r="11" spans="1:10" x14ac:dyDescent="0.25">
      <c r="D11">
        <v>1.5</v>
      </c>
      <c r="E11">
        <f t="shared" si="0"/>
        <v>28.545454545454543</v>
      </c>
    </row>
    <row r="12" spans="1:10" x14ac:dyDescent="0.25">
      <c r="D12">
        <v>2</v>
      </c>
      <c r="E12">
        <f t="shared" si="0"/>
        <v>30.545454545454543</v>
      </c>
    </row>
    <row r="13" spans="1:10" x14ac:dyDescent="0.25">
      <c r="D13">
        <v>2.5</v>
      </c>
      <c r="E13">
        <f t="shared" si="0"/>
        <v>32.545454545454547</v>
      </c>
    </row>
    <row r="14" spans="1:10" x14ac:dyDescent="0.25">
      <c r="D14">
        <v>3</v>
      </c>
      <c r="E14">
        <f t="shared" si="0"/>
        <v>34.545454545454547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"/>
  <sheetViews>
    <sheetView zoomScale="160" zoomScaleNormal="160" workbookViewId="0">
      <selection activeCell="E1" sqref="E1:F4"/>
    </sheetView>
  </sheetViews>
  <sheetFormatPr defaultRowHeight="15" x14ac:dyDescent="0.25"/>
  <cols>
    <col min="6" max="6" width="9.140625" style="1"/>
    <col min="8" max="9" width="9.140625" style="1"/>
  </cols>
  <sheetData>
    <row r="1" spans="1:9" x14ac:dyDescent="0.25">
      <c r="A1" s="14">
        <v>3500</v>
      </c>
      <c r="B1" s="15">
        <v>-2000</v>
      </c>
      <c r="C1" s="10">
        <v>-1500</v>
      </c>
      <c r="D1" s="3">
        <v>0</v>
      </c>
      <c r="E1">
        <v>1</v>
      </c>
      <c r="F1" s="18">
        <f t="array" ref="F1:F2">MMULT(MINVERSE(A1:B2),H1:H2+I1:I2-MMULT(C1:D2,F3:F4))</f>
        <v>-1.7303030303030303E-2</v>
      </c>
      <c r="H1" s="18">
        <v>-50</v>
      </c>
      <c r="I1" s="18">
        <v>-6</v>
      </c>
    </row>
    <row r="2" spans="1:9" x14ac:dyDescent="0.25">
      <c r="A2" s="16">
        <v>-2000</v>
      </c>
      <c r="B2" s="17">
        <v>3500</v>
      </c>
      <c r="C2" s="7">
        <v>0</v>
      </c>
      <c r="D2" s="12">
        <v>-1500</v>
      </c>
      <c r="E2">
        <v>2</v>
      </c>
      <c r="F2" s="18">
        <v>-3.030303030303029E-3</v>
      </c>
      <c r="H2" s="18">
        <v>30</v>
      </c>
      <c r="I2" s="18">
        <v>-6</v>
      </c>
    </row>
    <row r="3" spans="1:9" x14ac:dyDescent="0.25">
      <c r="A3" s="11">
        <v>-1500</v>
      </c>
      <c r="B3" s="7">
        <v>0</v>
      </c>
      <c r="C3" s="7">
        <v>1500</v>
      </c>
      <c r="D3" s="12">
        <v>0</v>
      </c>
      <c r="E3" s="19">
        <v>3</v>
      </c>
      <c r="F3" s="1">
        <v>1E-3</v>
      </c>
      <c r="H3" s="1">
        <f t="array" ref="H3:H4">MMULT(A3:B4,F1:F2)+MMULT(C3:D4,F3:F4)-I3:I4</f>
        <v>27.454545454545453</v>
      </c>
      <c r="I3" s="1">
        <v>0</v>
      </c>
    </row>
    <row r="4" spans="1:9" ht="15.75" thickBot="1" x14ac:dyDescent="0.3">
      <c r="A4" s="4">
        <v>0</v>
      </c>
      <c r="B4" s="13">
        <v>-1500</v>
      </c>
      <c r="C4" s="13">
        <v>0</v>
      </c>
      <c r="D4" s="5">
        <v>1500</v>
      </c>
      <c r="E4" s="19">
        <v>4</v>
      </c>
      <c r="F4" s="1">
        <v>0</v>
      </c>
      <c r="H4" s="1">
        <v>4.5454545454545432</v>
      </c>
      <c r="I4" s="1">
        <v>0</v>
      </c>
    </row>
    <row r="6" spans="1:9" x14ac:dyDescent="0.25">
      <c r="B6" t="s">
        <v>21</v>
      </c>
      <c r="F6" s="1" t="s">
        <v>22</v>
      </c>
      <c r="H6" s="1" t="s">
        <v>23</v>
      </c>
      <c r="I6" s="1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NT</vt:lpstr>
      <vt:lpstr>ET</vt:lpstr>
      <vt:lpstr>ESM</vt:lpstr>
      <vt:lpstr>SystemMatrix</vt:lpstr>
      <vt:lpstr>code_vector</vt:lpstr>
      <vt:lpstr>el_count</vt:lpstr>
      <vt:lpstr>el_id</vt:lpstr>
      <vt:lpstr>element_matrix</vt:lpstr>
      <vt:lpstr>elements</vt:lpstr>
      <vt:lpstr>nodes</vt:lpstr>
      <vt:lpstr>q_element</vt:lpstr>
      <vt:lpstr>q_system</vt:lpstr>
      <vt:lpstr>system_matrix</vt:lpstr>
      <vt:lpstr>u_system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macro</dc:creator>
  <cp:lastModifiedBy>macro</cp:lastModifiedBy>
  <dcterms:created xsi:type="dcterms:W3CDTF">2020-02-25T13:30:40Z</dcterms:created>
  <dcterms:modified xsi:type="dcterms:W3CDTF">2020-02-27T10:36:46Z</dcterms:modified>
</cp:coreProperties>
</file>
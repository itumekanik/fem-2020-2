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cro\Desktop\"/>
    </mc:Choice>
  </mc:AlternateContent>
  <bookViews>
    <workbookView xWindow="0" yWindow="0" windowWidth="20490" windowHeight="7620" activeTab="3"/>
  </bookViews>
  <sheets>
    <sheet name="NT" sheetId="1" r:id="rId1"/>
    <sheet name="ET" sheetId="2" r:id="rId2"/>
    <sheet name="ESM" sheetId="3" r:id="rId3"/>
    <sheet name="SystemMatrix" sheetId="4" r:id="rId4"/>
  </sheets>
  <definedNames>
    <definedName name="el_id">ESM!$B$1</definedName>
    <definedName name="elements">ET!$A:$H</definedName>
    <definedName name="nodes">NT!$A:$F</definedName>
    <definedName name="system_matrix">SystemMatrix!$A$1:$D$4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3" l="1"/>
  <c r="E3" i="3"/>
  <c r="F5" i="3" s="1"/>
  <c r="D3" i="3"/>
  <c r="F4" i="3" s="1"/>
  <c r="B3" i="3"/>
  <c r="B4" i="3"/>
  <c r="H3" i="2"/>
  <c r="H4" i="2"/>
  <c r="H2" i="2"/>
  <c r="G3" i="2"/>
  <c r="G4" i="2"/>
  <c r="G2" i="2"/>
  <c r="F3" i="2"/>
  <c r="F4" i="2"/>
  <c r="F2" i="2"/>
  <c r="B7" i="3" l="1"/>
  <c r="J4" i="3" s="1"/>
  <c r="J5" i="3" s="1"/>
  <c r="B5" i="3"/>
  <c r="E4" i="3" l="1"/>
  <c r="D5" i="3" s="1"/>
  <c r="D4" i="3"/>
  <c r="E5" i="3" s="1"/>
</calcChain>
</file>

<file path=xl/sharedStrings.xml><?xml version="1.0" encoding="utf-8"?>
<sst xmlns="http://schemas.openxmlformats.org/spreadsheetml/2006/main" count="26" uniqueCount="22">
  <si>
    <t>ID</t>
  </si>
  <si>
    <t>X</t>
  </si>
  <si>
    <t>rx</t>
  </si>
  <si>
    <t>Px</t>
  </si>
  <si>
    <t>dof_x</t>
  </si>
  <si>
    <t>ux</t>
  </si>
  <si>
    <t>n_start</t>
  </si>
  <si>
    <t>n_end</t>
  </si>
  <si>
    <t>EA</t>
  </si>
  <si>
    <t>L</t>
  </si>
  <si>
    <t>qx0</t>
  </si>
  <si>
    <t>EA/L</t>
  </si>
  <si>
    <t>c1</t>
  </si>
  <si>
    <t>c2</t>
  </si>
  <si>
    <t>Element ID</t>
  </si>
  <si>
    <t>KE</t>
  </si>
  <si>
    <t>ue</t>
  </si>
  <si>
    <t>qe</t>
  </si>
  <si>
    <t>Qe</t>
  </si>
  <si>
    <t>qx0 * L / 2</t>
  </si>
  <si>
    <t>+</t>
  </si>
  <si>
    <t>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</si>
</sst>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220" zoomScaleNormal="220" workbookViewId="0">
      <selection activeCell="A4" sqref="A4"/>
    </sheetView>
  </sheetViews>
  <sheetFormatPr defaultRowHeight="15" x14ac:dyDescent="0.25"/>
  <cols>
    <col min="1" max="16384" width="9.140625" style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1</v>
      </c>
      <c r="B2" s="1">
        <v>4</v>
      </c>
      <c r="C2" s="1">
        <v>1</v>
      </c>
      <c r="E2" s="1">
        <v>3</v>
      </c>
      <c r="F2" s="1">
        <v>1E-3</v>
      </c>
    </row>
    <row r="3" spans="1:6" x14ac:dyDescent="0.25">
      <c r="A3" s="1">
        <v>2</v>
      </c>
      <c r="B3" s="1">
        <v>6</v>
      </c>
      <c r="C3" s="1">
        <v>0</v>
      </c>
      <c r="D3" s="1">
        <v>-50</v>
      </c>
      <c r="E3" s="1">
        <v>1</v>
      </c>
    </row>
    <row r="4" spans="1:6" x14ac:dyDescent="0.25">
      <c r="A4" s="1">
        <v>3</v>
      </c>
      <c r="B4" s="1">
        <v>9</v>
      </c>
      <c r="C4" s="1">
        <v>0</v>
      </c>
      <c r="D4" s="1">
        <v>30</v>
      </c>
      <c r="E4" s="1">
        <v>2</v>
      </c>
    </row>
    <row r="5" spans="1:6" x14ac:dyDescent="0.25">
      <c r="A5" s="1">
        <v>4</v>
      </c>
      <c r="B5" s="1">
        <v>11</v>
      </c>
      <c r="C5" s="1">
        <v>1</v>
      </c>
      <c r="E5" s="1">
        <v>4</v>
      </c>
      <c r="F5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zoomScale="205" zoomScaleNormal="205" workbookViewId="0">
      <selection activeCell="E2" sqref="E2"/>
    </sheetView>
  </sheetViews>
  <sheetFormatPr defaultRowHeight="15" x14ac:dyDescent="0.25"/>
  <cols>
    <col min="1" max="16384" width="9.140625" style="1"/>
  </cols>
  <sheetData>
    <row r="1" spans="1:8" s="2" customFormat="1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10</v>
      </c>
      <c r="F1" s="2" t="s">
        <v>9</v>
      </c>
      <c r="G1" s="2" t="s">
        <v>12</v>
      </c>
      <c r="H1" s="2" t="s">
        <v>13</v>
      </c>
    </row>
    <row r="2" spans="1:8" x14ac:dyDescent="0.25">
      <c r="A2" s="1">
        <v>1</v>
      </c>
      <c r="B2" s="1">
        <v>1</v>
      </c>
      <c r="C2" s="1">
        <v>2</v>
      </c>
      <c r="D2" s="1">
        <v>3000</v>
      </c>
      <c r="E2" s="1">
        <v>0</v>
      </c>
      <c r="F2" s="1">
        <f>VLOOKUP(C2,nodes, 2,FALSE)-VLOOKUP(B2,nodes,2,FALSE)</f>
        <v>2</v>
      </c>
      <c r="G2" s="1">
        <f>VLOOKUP(B2,nodes,5, FALSE)</f>
        <v>3</v>
      </c>
      <c r="H2" s="1">
        <f>VLOOKUP(C2,nodes,5,FALSE)</f>
        <v>1</v>
      </c>
    </row>
    <row r="3" spans="1:8" x14ac:dyDescent="0.25">
      <c r="A3" s="1">
        <v>2</v>
      </c>
      <c r="B3" s="1">
        <v>2</v>
      </c>
      <c r="C3" s="1">
        <v>3</v>
      </c>
      <c r="D3" s="1">
        <v>6000</v>
      </c>
      <c r="E3" s="1">
        <v>-4</v>
      </c>
      <c r="F3" s="1">
        <f>VLOOKUP(C3,nodes, 2,FALSE)-VLOOKUP(B3,nodes,2,FALSE)</f>
        <v>3</v>
      </c>
      <c r="G3" s="1">
        <f>VLOOKUP(B3,nodes,5, FALSE)</f>
        <v>1</v>
      </c>
      <c r="H3" s="1">
        <f>VLOOKUP(C3,nodes,5,FALSE)</f>
        <v>2</v>
      </c>
    </row>
    <row r="4" spans="1:8" x14ac:dyDescent="0.25">
      <c r="A4" s="1">
        <v>3</v>
      </c>
      <c r="B4" s="1">
        <v>3</v>
      </c>
      <c r="C4" s="1">
        <v>4</v>
      </c>
      <c r="D4" s="1">
        <v>3000</v>
      </c>
      <c r="E4" s="1">
        <v>0</v>
      </c>
      <c r="F4" s="1">
        <f>VLOOKUP(C4,nodes, 2,FALSE)-VLOOKUP(B4,nodes,2,FALSE)</f>
        <v>2</v>
      </c>
      <c r="G4" s="1">
        <f>VLOOKUP(B4,nodes,5, FALSE)</f>
        <v>2</v>
      </c>
      <c r="H4" s="1">
        <f>VLOOKUP(C4,nodes,5,FALSE)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zoomScale="190" zoomScaleNormal="190" workbookViewId="0"/>
  </sheetViews>
  <sheetFormatPr defaultRowHeight="15" x14ac:dyDescent="0.25"/>
  <cols>
    <col min="1" max="1" width="10.7109375" bestFit="1" customWidth="1"/>
  </cols>
  <sheetData>
    <row r="1" spans="1:10" x14ac:dyDescent="0.25">
      <c r="A1" t="s">
        <v>14</v>
      </c>
      <c r="B1">
        <v>3</v>
      </c>
    </row>
    <row r="2" spans="1:10" x14ac:dyDescent="0.25">
      <c r="D2" s="2" t="s">
        <v>15</v>
      </c>
      <c r="E2" s="2"/>
      <c r="F2" s="2" t="s">
        <v>16</v>
      </c>
      <c r="G2" s="5" t="s">
        <v>21</v>
      </c>
      <c r="H2" s="2" t="s">
        <v>18</v>
      </c>
      <c r="I2" s="5" t="s">
        <v>20</v>
      </c>
      <c r="J2" s="2" t="s">
        <v>17</v>
      </c>
    </row>
    <row r="3" spans="1:10" x14ac:dyDescent="0.25">
      <c r="A3" t="s">
        <v>8</v>
      </c>
      <c r="B3">
        <f>VLOOKUP(el_id, elements, 4, FALSE)</f>
        <v>3000</v>
      </c>
      <c r="D3" s="1">
        <f>VLOOKUP(el_id,elements,7,FALSE)</f>
        <v>2</v>
      </c>
      <c r="E3" s="1">
        <f>VLOOKUP(el_id,elements,8,FALSE)</f>
        <v>4</v>
      </c>
      <c r="F3" s="1"/>
      <c r="G3" s="1"/>
    </row>
    <row r="4" spans="1:10" x14ac:dyDescent="0.25">
      <c r="A4" t="s">
        <v>9</v>
      </c>
      <c r="B4">
        <f>VLOOKUP(el_id,elements,6,FALSE)</f>
        <v>2</v>
      </c>
      <c r="D4" s="3">
        <f>B5</f>
        <v>1500</v>
      </c>
      <c r="E4" s="3">
        <f>-B5</f>
        <v>-1500</v>
      </c>
      <c r="F4" s="1">
        <f>D3</f>
        <v>2</v>
      </c>
      <c r="G4" s="1"/>
      <c r="H4" s="3"/>
      <c r="I4" s="4"/>
      <c r="J4" s="3">
        <f>B7</f>
        <v>0</v>
      </c>
    </row>
    <row r="5" spans="1:10" x14ac:dyDescent="0.25">
      <c r="A5" t="s">
        <v>11</v>
      </c>
      <c r="B5">
        <f>B3/B4</f>
        <v>1500</v>
      </c>
      <c r="D5" s="3">
        <f>E4</f>
        <v>-1500</v>
      </c>
      <c r="E5" s="3">
        <f>D4</f>
        <v>1500</v>
      </c>
      <c r="F5" s="1">
        <f>E3</f>
        <v>4</v>
      </c>
      <c r="G5" s="1"/>
      <c r="H5" s="3"/>
      <c r="I5" s="4"/>
      <c r="J5" s="3">
        <f>J4</f>
        <v>0</v>
      </c>
    </row>
    <row r="6" spans="1:10" x14ac:dyDescent="0.25">
      <c r="A6" t="s">
        <v>10</v>
      </c>
      <c r="B6">
        <f>VLOOKUP(el_id,elements,5,FALSE)</f>
        <v>0</v>
      </c>
    </row>
    <row r="7" spans="1:10" x14ac:dyDescent="0.25">
      <c r="A7" t="s">
        <v>19</v>
      </c>
      <c r="B7">
        <f>B6*B4/2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160" zoomScaleNormal="160" workbookViewId="0">
      <selection activeCell="F5" sqref="F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NT</vt:lpstr>
      <vt:lpstr>ET</vt:lpstr>
      <vt:lpstr>ESM</vt:lpstr>
      <vt:lpstr>SystemMatrix</vt:lpstr>
      <vt:lpstr>el_id</vt:lpstr>
      <vt:lpstr>elements</vt:lpstr>
      <vt:lpstr>nodes</vt:lpstr>
      <vt:lpstr>system_matrix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</dc:creator>
  <cp:lastModifiedBy>macro</cp:lastModifiedBy>
  <dcterms:created xsi:type="dcterms:W3CDTF">2020-02-25T13:30:40Z</dcterms:created>
  <dcterms:modified xsi:type="dcterms:W3CDTF">2020-02-25T14:14:34Z</dcterms:modified>
</cp:coreProperties>
</file>
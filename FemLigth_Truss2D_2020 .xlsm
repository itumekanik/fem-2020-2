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cro\Desktop\"/>
    </mc:Choice>
  </mc:AlternateContent>
  <bookViews>
    <workbookView xWindow="0" yWindow="0" windowWidth="20490" windowHeight="7620" activeTab="3"/>
  </bookViews>
  <sheets>
    <sheet name="NT" sheetId="1" r:id="rId1"/>
    <sheet name="ET" sheetId="2" r:id="rId2"/>
    <sheet name="ESM" sheetId="3" r:id="rId3"/>
    <sheet name="SystemMatrix" sheetId="4" r:id="rId4"/>
  </sheets>
  <definedNames>
    <definedName name="code_vector">ESM!$D$13:$G$13</definedName>
    <definedName name="el_count">ESM!$B$2</definedName>
    <definedName name="el_id">ESM!$B$1</definedName>
    <definedName name="element_matrix">ESM!$D$14:$G$17</definedName>
    <definedName name="elements">ET!$A:$F</definedName>
    <definedName name="nodes">NT!$A:$K</definedName>
    <definedName name="q_element">ESM!$J$4:$J$5</definedName>
    <definedName name="q_system">SystemMatrix!$I$1:$I$4</definedName>
    <definedName name="system_matrix">SystemMatrix!$A$1:$J$10</definedName>
    <definedName name="u_system">SystemMatrix!$K$1:$L$10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4" l="1" a="1"/>
  <c r="M8" i="4" s="1"/>
  <c r="L1" i="4" a="1"/>
  <c r="L2" i="4" s="1"/>
  <c r="B10" i="3"/>
  <c r="G13" i="3" s="1"/>
  <c r="H17" i="3" s="1"/>
  <c r="I17" i="3" s="1"/>
  <c r="B9" i="3"/>
  <c r="E13" i="3" s="1"/>
  <c r="H15" i="3" s="1"/>
  <c r="I15" i="3" s="1"/>
  <c r="B5" i="3"/>
  <c r="B4" i="3"/>
  <c r="F3" i="2"/>
  <c r="F4" i="2"/>
  <c r="F5" i="2"/>
  <c r="F6" i="2"/>
  <c r="F7" i="2"/>
  <c r="F8" i="2"/>
  <c r="F2" i="2"/>
  <c r="E3" i="2"/>
  <c r="E4" i="2"/>
  <c r="E5" i="2"/>
  <c r="E6" i="2"/>
  <c r="E7" i="2"/>
  <c r="E8" i="2"/>
  <c r="E2" i="2"/>
  <c r="M7" i="4" l="1"/>
  <c r="M10" i="4"/>
  <c r="M9" i="4"/>
  <c r="L5" i="4"/>
  <c r="L1" i="4"/>
  <c r="L4" i="4"/>
  <c r="L3" i="4"/>
  <c r="L6" i="4"/>
  <c r="D13" i="3"/>
  <c r="H14" i="3" s="1"/>
  <c r="I14" i="3" s="1"/>
  <c r="F13" i="3"/>
  <c r="H16" i="3" s="1"/>
  <c r="I16" i="3" s="1"/>
  <c r="B6" i="3"/>
  <c r="B8" i="3" s="1"/>
  <c r="E2" i="3" s="1"/>
  <c r="B2" i="3"/>
  <c r="B3" i="3"/>
  <c r="D8" i="3" l="1"/>
  <c r="F10" i="3" s="1"/>
  <c r="G4" i="3"/>
  <c r="D3" i="3"/>
  <c r="F5" i="3" s="1"/>
  <c r="B7" i="3"/>
  <c r="D2" i="3" s="1"/>
  <c r="F8" i="3" l="1"/>
  <c r="D10" i="3" s="1"/>
  <c r="F4" i="3"/>
  <c r="E3" i="3"/>
  <c r="G5" i="3" s="1"/>
  <c r="D14" i="3" l="1" a="1"/>
  <c r="F17" i="3" s="1"/>
  <c r="F15" i="3" l="1"/>
  <c r="F16" i="3"/>
  <c r="G14" i="3"/>
  <c r="G17" i="3"/>
  <c r="G15" i="3"/>
  <c r="G16" i="3"/>
  <c r="D14" i="3"/>
  <c r="D17" i="3"/>
  <c r="D15" i="3"/>
  <c r="D16" i="3"/>
  <c r="E17" i="3"/>
  <c r="E14" i="3"/>
  <c r="E15" i="3"/>
  <c r="E16" i="3"/>
  <c r="F14" i="3"/>
  <c r="K14" i="3" l="1" a="1"/>
  <c r="K15" i="3" l="1"/>
  <c r="K17" i="3"/>
  <c r="K16" i="3"/>
  <c r="K14" i="3"/>
  <c r="K8" i="3" l="1" a="1"/>
  <c r="K9" i="3" l="1"/>
  <c r="K8" i="3"/>
  <c r="K11" i="3"/>
  <c r="K10" i="3"/>
  <c r="B13" i="3" s="1"/>
</calcChain>
</file>

<file path=xl/sharedStrings.xml><?xml version="1.0" encoding="utf-8"?>
<sst xmlns="http://schemas.openxmlformats.org/spreadsheetml/2006/main" count="34" uniqueCount="30">
  <si>
    <t>ID</t>
  </si>
  <si>
    <t>X</t>
  </si>
  <si>
    <t>rx</t>
  </si>
  <si>
    <t>Px</t>
  </si>
  <si>
    <t>dof_x</t>
  </si>
  <si>
    <t>ux</t>
  </si>
  <si>
    <t>n_start</t>
  </si>
  <si>
    <t>n_end</t>
  </si>
  <si>
    <t>EA</t>
  </si>
  <si>
    <t>L</t>
  </si>
  <si>
    <t>Element ID</t>
  </si>
  <si>
    <t>NUM_OF_EL</t>
  </si>
  <si>
    <t>Y</t>
  </si>
  <si>
    <t>ry</t>
  </si>
  <si>
    <t>Py</t>
  </si>
  <si>
    <t>dof_y</t>
  </si>
  <si>
    <t>uy</t>
  </si>
  <si>
    <t>Lx</t>
  </si>
  <si>
    <t>Ly</t>
  </si>
  <si>
    <t>c</t>
  </si>
  <si>
    <t>s</t>
  </si>
  <si>
    <t>T_teta</t>
  </si>
  <si>
    <t>KL</t>
  </si>
  <si>
    <t>KG</t>
  </si>
  <si>
    <t>ni</t>
  </si>
  <si>
    <t>nj</t>
  </si>
  <si>
    <t>ug</t>
  </si>
  <si>
    <t>Qg</t>
  </si>
  <si>
    <t>N</t>
  </si>
  <si>
    <t>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</si>
</sst>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5" xfId="0" applyFill="1" applyBorder="1"/>
    <xf numFmtId="0" fontId="0" fillId="2" borderId="0" xfId="0" applyFill="1" applyBorder="1"/>
    <xf numFmtId="0" fontId="0" fillId="0" borderId="0" xfId="0" applyFill="1" applyBorder="1"/>
    <xf numFmtId="0" fontId="1" fillId="0" borderId="0" xfId="0" applyFont="1" applyBorder="1" applyAlignment="1">
      <alignment horizontal="center"/>
    </xf>
    <xf numFmtId="0" fontId="1" fillId="0" borderId="0" xfId="0" quotePrefix="1" applyFont="1" applyBorder="1" applyAlignment="1">
      <alignment horizontal="center"/>
    </xf>
    <xf numFmtId="0" fontId="1" fillId="0" borderId="0" xfId="0" applyFont="1" applyBorder="1"/>
    <xf numFmtId="0" fontId="0" fillId="0" borderId="1" xfId="0" applyBorder="1"/>
    <xf numFmtId="0" fontId="0" fillId="0" borderId="7" xfId="0" applyFill="1" applyBorder="1"/>
    <xf numFmtId="0" fontId="0" fillId="0" borderId="8" xfId="0" applyFill="1" applyBorder="1"/>
    <xf numFmtId="0" fontId="0" fillId="0" borderId="4" xfId="0" applyFill="1" applyBorder="1"/>
    <xf numFmtId="0" fontId="0" fillId="0" borderId="1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7" xfId="0" applyNumberFormat="1" applyFon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8" xfId="0" applyNumberFormat="1" applyFont="1" applyBorder="1" applyAlignment="1">
      <alignment horizontal="center"/>
    </xf>
    <xf numFmtId="0" fontId="0" fillId="0" borderId="4" xfId="0" applyNumberFormat="1" applyFont="1" applyBorder="1" applyAlignment="1">
      <alignment horizontal="center"/>
    </xf>
    <xf numFmtId="0" fontId="0" fillId="0" borderId="2" xfId="0" applyNumberFormat="1" applyFont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5" xfId="0" applyFill="1" applyBorder="1"/>
    <xf numFmtId="0" fontId="0" fillId="0" borderId="2" xfId="0" applyFill="1" applyBorder="1"/>
    <xf numFmtId="0" fontId="0" fillId="0" borderId="5" xfId="0" applyFill="1" applyBorder="1" applyAlignment="1">
      <alignment horizontal="center"/>
    </xf>
    <xf numFmtId="0" fontId="0" fillId="0" borderId="6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/>
    <xf numFmtId="0" fontId="0" fillId="0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"/>
  <sheetViews>
    <sheetView zoomScale="145" zoomScaleNormal="145" workbookViewId="0">
      <selection activeCell="H7" sqref="H7"/>
    </sheetView>
  </sheetViews>
  <sheetFormatPr defaultRowHeight="15" x14ac:dyDescent="0.25"/>
  <cols>
    <col min="1" max="16384" width="9.140625" style="1"/>
  </cols>
  <sheetData>
    <row r="1" spans="1:11" s="2" customFormat="1" x14ac:dyDescent="0.25">
      <c r="A1" s="2" t="s">
        <v>0</v>
      </c>
      <c r="B1" s="2" t="s">
        <v>1</v>
      </c>
      <c r="C1" s="2" t="s">
        <v>12</v>
      </c>
      <c r="D1" s="2" t="s">
        <v>2</v>
      </c>
      <c r="E1" s="2" t="s">
        <v>13</v>
      </c>
      <c r="F1" s="2" t="s">
        <v>3</v>
      </c>
      <c r="G1" s="2" t="s">
        <v>14</v>
      </c>
      <c r="H1" s="2" t="s">
        <v>4</v>
      </c>
      <c r="I1" s="2" t="s">
        <v>15</v>
      </c>
      <c r="J1" s="2" t="s">
        <v>5</v>
      </c>
      <c r="K1" s="2" t="s">
        <v>16</v>
      </c>
    </row>
    <row r="2" spans="1:11" x14ac:dyDescent="0.25">
      <c r="A2" s="1">
        <v>1</v>
      </c>
      <c r="B2" s="1">
        <v>0</v>
      </c>
      <c r="C2" s="1">
        <v>0</v>
      </c>
      <c r="D2" s="1">
        <v>1</v>
      </c>
      <c r="E2" s="1">
        <v>1</v>
      </c>
      <c r="H2" s="1">
        <v>7</v>
      </c>
      <c r="I2" s="1">
        <v>8</v>
      </c>
      <c r="J2" s="1">
        <v>0</v>
      </c>
      <c r="K2" s="1">
        <v>0</v>
      </c>
    </row>
    <row r="3" spans="1:11" x14ac:dyDescent="0.25">
      <c r="A3" s="1">
        <v>2</v>
      </c>
      <c r="B3" s="1">
        <v>2</v>
      </c>
      <c r="C3" s="1">
        <v>0</v>
      </c>
      <c r="D3" s="1">
        <v>0</v>
      </c>
      <c r="E3" s="1">
        <v>0</v>
      </c>
      <c r="F3" s="1">
        <v>0</v>
      </c>
      <c r="G3" s="1">
        <v>-30</v>
      </c>
      <c r="H3" s="1">
        <v>1</v>
      </c>
      <c r="I3" s="1">
        <v>2</v>
      </c>
    </row>
    <row r="4" spans="1:11" x14ac:dyDescent="0.25">
      <c r="A4" s="1">
        <v>3</v>
      </c>
      <c r="B4" s="1">
        <v>4</v>
      </c>
      <c r="C4" s="1">
        <v>0</v>
      </c>
      <c r="D4" s="1">
        <v>1</v>
      </c>
      <c r="E4" s="1">
        <v>1</v>
      </c>
      <c r="H4" s="1">
        <v>9</v>
      </c>
      <c r="I4" s="1">
        <v>10</v>
      </c>
      <c r="J4" s="1">
        <v>0</v>
      </c>
      <c r="K4" s="1">
        <v>0</v>
      </c>
    </row>
    <row r="5" spans="1:11" x14ac:dyDescent="0.25">
      <c r="A5" s="1">
        <v>4</v>
      </c>
      <c r="B5" s="1">
        <v>1</v>
      </c>
      <c r="C5" s="1">
        <v>1.5</v>
      </c>
      <c r="D5" s="1">
        <v>0</v>
      </c>
      <c r="E5" s="1">
        <v>0</v>
      </c>
      <c r="F5" s="1">
        <v>20</v>
      </c>
      <c r="G5" s="1">
        <v>0</v>
      </c>
      <c r="H5" s="1">
        <v>3</v>
      </c>
      <c r="I5" s="1">
        <v>4</v>
      </c>
    </row>
    <row r="6" spans="1:11" x14ac:dyDescent="0.25">
      <c r="A6" s="1">
        <v>5</v>
      </c>
      <c r="B6" s="1">
        <v>3</v>
      </c>
      <c r="C6" s="1">
        <v>1.5</v>
      </c>
      <c r="D6" s="1">
        <v>0</v>
      </c>
      <c r="E6" s="1">
        <v>0</v>
      </c>
      <c r="F6" s="1">
        <v>0</v>
      </c>
      <c r="G6" s="1">
        <v>0</v>
      </c>
      <c r="H6" s="1">
        <v>5</v>
      </c>
      <c r="I6" s="1">
        <v>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"/>
  <sheetViews>
    <sheetView zoomScale="205" zoomScaleNormal="205" workbookViewId="0">
      <selection activeCell="H5" sqref="H5"/>
    </sheetView>
  </sheetViews>
  <sheetFormatPr defaultRowHeight="15" x14ac:dyDescent="0.25"/>
  <cols>
    <col min="1" max="16384" width="9.140625" style="1"/>
  </cols>
  <sheetData>
    <row r="1" spans="1:6" s="2" customFormat="1" x14ac:dyDescent="0.25">
      <c r="A1" s="2" t="s">
        <v>0</v>
      </c>
      <c r="B1" s="2" t="s">
        <v>6</v>
      </c>
      <c r="C1" s="2" t="s">
        <v>7</v>
      </c>
      <c r="D1" s="2" t="s">
        <v>8</v>
      </c>
      <c r="E1" s="2" t="s">
        <v>17</v>
      </c>
      <c r="F1" s="2" t="s">
        <v>18</v>
      </c>
    </row>
    <row r="2" spans="1:6" x14ac:dyDescent="0.25">
      <c r="A2" s="1">
        <v>1</v>
      </c>
      <c r="B2" s="1">
        <v>1</v>
      </c>
      <c r="C2" s="1">
        <v>2</v>
      </c>
      <c r="D2" s="1">
        <v>3000</v>
      </c>
      <c r="E2" s="1">
        <f>VLOOKUP(C2,nodes,2,FALSE)-VLOOKUP(B2,nodes,2,FALSE)</f>
        <v>2</v>
      </c>
      <c r="F2" s="1">
        <f>VLOOKUP(C2,nodes,3,FALSE)-VLOOKUP(B2,nodes,3,FALSE)</f>
        <v>0</v>
      </c>
    </row>
    <row r="3" spans="1:6" x14ac:dyDescent="0.25">
      <c r="A3" s="1">
        <v>2</v>
      </c>
      <c r="B3" s="1">
        <v>2</v>
      </c>
      <c r="C3" s="1">
        <v>3</v>
      </c>
      <c r="D3" s="1">
        <v>3000</v>
      </c>
      <c r="E3" s="1">
        <f>VLOOKUP(C3,nodes,2,FALSE)-VLOOKUP(B3,nodes,2,FALSE)</f>
        <v>2</v>
      </c>
      <c r="F3" s="1">
        <f>VLOOKUP(C3,nodes,3,FALSE)-VLOOKUP(B3,nodes,3,FALSE)</f>
        <v>0</v>
      </c>
    </row>
    <row r="4" spans="1:6" x14ac:dyDescent="0.25">
      <c r="A4" s="1">
        <v>3</v>
      </c>
      <c r="B4" s="1">
        <v>1</v>
      </c>
      <c r="C4" s="1">
        <v>4</v>
      </c>
      <c r="D4" s="1">
        <v>3000</v>
      </c>
      <c r="E4" s="1">
        <f>VLOOKUP(C4,nodes,2,FALSE)-VLOOKUP(B4,nodes,2,FALSE)</f>
        <v>1</v>
      </c>
      <c r="F4" s="1">
        <f>VLOOKUP(C4,nodes,3,FALSE)-VLOOKUP(B4,nodes,3,FALSE)</f>
        <v>1.5</v>
      </c>
    </row>
    <row r="5" spans="1:6" x14ac:dyDescent="0.25">
      <c r="A5" s="1">
        <v>4</v>
      </c>
      <c r="B5" s="1">
        <v>4</v>
      </c>
      <c r="C5" s="1">
        <v>2</v>
      </c>
      <c r="D5" s="1">
        <v>3000</v>
      </c>
      <c r="E5" s="1">
        <f>VLOOKUP(C5,nodes,2,FALSE)-VLOOKUP(B5,nodes,2,FALSE)</f>
        <v>1</v>
      </c>
      <c r="F5" s="1">
        <f>VLOOKUP(C5,nodes,3,FALSE)-VLOOKUP(B5,nodes,3,FALSE)</f>
        <v>-1.5</v>
      </c>
    </row>
    <row r="6" spans="1:6" x14ac:dyDescent="0.25">
      <c r="A6" s="1">
        <v>5</v>
      </c>
      <c r="B6" s="1">
        <v>2</v>
      </c>
      <c r="C6" s="1">
        <v>5</v>
      </c>
      <c r="D6" s="1">
        <v>3000</v>
      </c>
      <c r="E6" s="1">
        <f>VLOOKUP(C6,nodes,2,FALSE)-VLOOKUP(B6,nodes,2,FALSE)</f>
        <v>1</v>
      </c>
      <c r="F6" s="1">
        <f>VLOOKUP(C6,nodes,3,FALSE)-VLOOKUP(B6,nodes,3,FALSE)</f>
        <v>1.5</v>
      </c>
    </row>
    <row r="7" spans="1:6" x14ac:dyDescent="0.25">
      <c r="A7" s="1">
        <v>6</v>
      </c>
      <c r="B7" s="1">
        <v>5</v>
      </c>
      <c r="C7" s="1">
        <v>3</v>
      </c>
      <c r="D7" s="1">
        <v>3000</v>
      </c>
      <c r="E7" s="1">
        <f>VLOOKUP(C7,nodes,2,FALSE)-VLOOKUP(B7,nodes,2,FALSE)</f>
        <v>1</v>
      </c>
      <c r="F7" s="1">
        <f>VLOOKUP(C7,nodes,3,FALSE)-VLOOKUP(B7,nodes,3,FALSE)</f>
        <v>-1.5</v>
      </c>
    </row>
    <row r="8" spans="1:6" x14ac:dyDescent="0.25">
      <c r="A8" s="1">
        <v>7</v>
      </c>
      <c r="B8" s="1">
        <v>4</v>
      </c>
      <c r="C8" s="1">
        <v>5</v>
      </c>
      <c r="D8" s="1">
        <v>3000</v>
      </c>
      <c r="E8" s="1">
        <f>VLOOKUP(C8,nodes,2,FALSE)-VLOOKUP(B8,nodes,2,FALSE)</f>
        <v>2</v>
      </c>
      <c r="F8" s="1">
        <f>VLOOKUP(C8,nodes,3,FALSE)-VLOOKUP(B8,nodes,3,FALSE)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topLeftCell="A7" zoomScale="145" zoomScaleNormal="145" workbookViewId="0">
      <selection activeCell="B13" sqref="B13"/>
    </sheetView>
  </sheetViews>
  <sheetFormatPr defaultRowHeight="15" x14ac:dyDescent="0.25"/>
  <cols>
    <col min="1" max="1" width="11.85546875" bestFit="1" customWidth="1"/>
    <col min="3" max="10" width="9.140625" style="6"/>
  </cols>
  <sheetData>
    <row r="1" spans="1:11" ht="15.75" thickBot="1" x14ac:dyDescent="0.3">
      <c r="A1" t="s">
        <v>10</v>
      </c>
      <c r="B1">
        <v>3</v>
      </c>
      <c r="E1" s="17" t="s">
        <v>21</v>
      </c>
    </row>
    <row r="2" spans="1:11" x14ac:dyDescent="0.25">
      <c r="A2" t="s">
        <v>11</v>
      </c>
      <c r="B2">
        <f>COUNT(ET!A:A)</f>
        <v>7</v>
      </c>
      <c r="D2" s="22">
        <f>B7</f>
        <v>0.55470019622522915</v>
      </c>
      <c r="E2" s="23">
        <f>B8</f>
        <v>0.83205029433784372</v>
      </c>
      <c r="F2" s="23">
        <v>0</v>
      </c>
      <c r="G2" s="30">
        <v>0</v>
      </c>
      <c r="H2" s="15"/>
      <c r="I2" s="16"/>
      <c r="J2" s="15"/>
    </row>
    <row r="3" spans="1:11" x14ac:dyDescent="0.25">
      <c r="A3" t="s">
        <v>8</v>
      </c>
      <c r="B3">
        <f>VLOOKUP(el_id, elements, 4, FALSE)</f>
        <v>3000</v>
      </c>
      <c r="D3" s="24">
        <f>-E2</f>
        <v>-0.83205029433784372</v>
      </c>
      <c r="E3" s="25">
        <f>D2</f>
        <v>0.55470019622522915</v>
      </c>
      <c r="F3" s="25">
        <v>0</v>
      </c>
      <c r="G3" s="26">
        <v>0</v>
      </c>
    </row>
    <row r="4" spans="1:11" x14ac:dyDescent="0.25">
      <c r="A4" t="s">
        <v>17</v>
      </c>
      <c r="B4">
        <f>VLOOKUP(el_id,elements,5,FALSE)</f>
        <v>1</v>
      </c>
      <c r="D4" s="24">
        <v>0</v>
      </c>
      <c r="E4" s="25">
        <v>0</v>
      </c>
      <c r="F4" s="25">
        <f>D2</f>
        <v>0.55470019622522915</v>
      </c>
      <c r="G4" s="26">
        <f>E2</f>
        <v>0.83205029433784372</v>
      </c>
      <c r="H4" s="7"/>
      <c r="I4" s="7"/>
      <c r="J4" s="7"/>
    </row>
    <row r="5" spans="1:11" ht="15.75" thickBot="1" x14ac:dyDescent="0.3">
      <c r="A5" t="s">
        <v>18</v>
      </c>
      <c r="B5">
        <f>VLOOKUP(el_id,elements,6,FALSE)</f>
        <v>1.5</v>
      </c>
      <c r="D5" s="27">
        <v>0</v>
      </c>
      <c r="E5" s="28">
        <v>0</v>
      </c>
      <c r="F5" s="28">
        <f>D3</f>
        <v>-0.83205029433784372</v>
      </c>
      <c r="G5" s="29">
        <f>E3</f>
        <v>0.55470019622522915</v>
      </c>
      <c r="H5" s="7"/>
      <c r="I5" s="7"/>
      <c r="J5" s="7"/>
    </row>
    <row r="6" spans="1:11" x14ac:dyDescent="0.25">
      <c r="A6" t="s">
        <v>9</v>
      </c>
      <c r="B6">
        <f>(B4^2+B5^2)^0.5</f>
        <v>1.8027756377319946</v>
      </c>
    </row>
    <row r="7" spans="1:11" ht="15.75" thickBot="1" x14ac:dyDescent="0.3">
      <c r="A7" t="s">
        <v>19</v>
      </c>
      <c r="B7">
        <f>B4/B6</f>
        <v>0.55470019622522915</v>
      </c>
      <c r="E7" s="17" t="s">
        <v>22</v>
      </c>
      <c r="K7" t="s">
        <v>29</v>
      </c>
    </row>
    <row r="8" spans="1:11" x14ac:dyDescent="0.25">
      <c r="A8" t="s">
        <v>20</v>
      </c>
      <c r="B8">
        <f>B5/B6</f>
        <v>0.83205029433784372</v>
      </c>
      <c r="D8" s="18">
        <f>B3/B6</f>
        <v>1664.1005886756875</v>
      </c>
      <c r="E8" s="8">
        <v>0</v>
      </c>
      <c r="F8" s="8">
        <f>-D8</f>
        <v>-1664.1005886756875</v>
      </c>
      <c r="G8" s="3">
        <v>0</v>
      </c>
      <c r="K8">
        <f t="array" ref="K8:K11">MMULT(D2:G5,K14:K17)</f>
        <v>9.0138781886599748</v>
      </c>
    </row>
    <row r="9" spans="1:11" x14ac:dyDescent="0.25">
      <c r="A9" t="s">
        <v>24</v>
      </c>
      <c r="B9">
        <f>VLOOKUP(el_id,elements,2,FALSE)</f>
        <v>1</v>
      </c>
      <c r="D9" s="9">
        <v>0</v>
      </c>
      <c r="E9" s="6">
        <v>0</v>
      </c>
      <c r="F9" s="6">
        <v>0</v>
      </c>
      <c r="G9" s="19">
        <v>0</v>
      </c>
      <c r="K9">
        <v>-8.8817841970012523E-16</v>
      </c>
    </row>
    <row r="10" spans="1:11" x14ac:dyDescent="0.25">
      <c r="A10" t="s">
        <v>25</v>
      </c>
      <c r="B10">
        <f>VLOOKUP(el_id,elements,3,FALSE)</f>
        <v>4</v>
      </c>
      <c r="D10" s="9">
        <f>F8</f>
        <v>-1664.1005886756875</v>
      </c>
      <c r="E10" s="6">
        <v>0</v>
      </c>
      <c r="F10" s="6">
        <f>D8</f>
        <v>1664.1005886756875</v>
      </c>
      <c r="G10" s="10">
        <v>0</v>
      </c>
      <c r="K10">
        <v>-9.0138781886599748</v>
      </c>
    </row>
    <row r="11" spans="1:11" ht="15.75" thickBot="1" x14ac:dyDescent="0.3">
      <c r="D11" s="4">
        <v>0</v>
      </c>
      <c r="E11" s="20">
        <v>0</v>
      </c>
      <c r="F11" s="11">
        <v>0</v>
      </c>
      <c r="G11" s="21">
        <v>0</v>
      </c>
      <c r="K11">
        <v>8.8817841970012523E-16</v>
      </c>
    </row>
    <row r="13" spans="1:11" ht="15.75" thickBot="1" x14ac:dyDescent="0.3">
      <c r="A13" t="s">
        <v>28</v>
      </c>
      <c r="B13">
        <f>K10</f>
        <v>-9.0138781886599748</v>
      </c>
      <c r="D13" s="6">
        <f>VLOOKUP(B9,nodes,8,FALSE)</f>
        <v>7</v>
      </c>
      <c r="E13" s="6">
        <f>VLOOKUP(B9,nodes,9,FALSE)</f>
        <v>8</v>
      </c>
      <c r="F13" s="6">
        <f>VLOOKUP(B10,nodes,8,FALSE)</f>
        <v>3</v>
      </c>
      <c r="G13" s="6">
        <f>VLOOKUP(B10,nodes,9,FALSE)</f>
        <v>4</v>
      </c>
      <c r="I13" s="6" t="s">
        <v>26</v>
      </c>
      <c r="K13" t="s">
        <v>27</v>
      </c>
    </row>
    <row r="14" spans="1:11" x14ac:dyDescent="0.25">
      <c r="D14" s="18">
        <f t="array" ref="D14:G17">MMULT(MINVERSE(D2:G5),MMULT(D8:G11,D2:G5))</f>
        <v>512.03095036175</v>
      </c>
      <c r="E14" s="8">
        <v>768.046425542625</v>
      </c>
      <c r="F14" s="8">
        <v>-512.03095036175</v>
      </c>
      <c r="G14" s="3">
        <v>-768.046425542625</v>
      </c>
      <c r="H14" s="6">
        <f>D13</f>
        <v>7</v>
      </c>
      <c r="I14" s="6">
        <f>VLOOKUP(H14,u_system,2,FALSE)</f>
        <v>0</v>
      </c>
      <c r="K14">
        <f t="array" ref="K14:K17">MMULT(D14:G17,I14:I17)</f>
        <v>5.0000000000000018</v>
      </c>
    </row>
    <row r="15" spans="1:11" x14ac:dyDescent="0.25">
      <c r="D15" s="9">
        <v>768.04642554262512</v>
      </c>
      <c r="E15" s="6">
        <v>1152.0696383139375</v>
      </c>
      <c r="F15" s="6">
        <v>-768.04642554262512</v>
      </c>
      <c r="G15" s="10">
        <v>-1152.0696383139375</v>
      </c>
      <c r="H15" s="6">
        <f>E13</f>
        <v>8</v>
      </c>
      <c r="I15" s="6">
        <f>VLOOKUP(H15,u_system,2,FALSE)</f>
        <v>0</v>
      </c>
      <c r="K15">
        <v>7.5</v>
      </c>
    </row>
    <row r="16" spans="1:11" x14ac:dyDescent="0.25">
      <c r="D16" s="9">
        <v>-512.03095036175</v>
      </c>
      <c r="E16" s="6">
        <v>-768.046425542625</v>
      </c>
      <c r="F16" s="6">
        <v>512.03095036175</v>
      </c>
      <c r="G16" s="10">
        <v>768.046425542625</v>
      </c>
      <c r="H16" s="6">
        <f>F13</f>
        <v>3</v>
      </c>
      <c r="I16" s="6">
        <f>VLOOKUP(H16,u_system,2,FALSE)</f>
        <v>2.1431701371048308E-2</v>
      </c>
      <c r="K16">
        <v>-5.0000000000000018</v>
      </c>
    </row>
    <row r="17" spans="4:11" ht="15.75" thickBot="1" x14ac:dyDescent="0.3">
      <c r="D17" s="4">
        <v>-768.04642554262512</v>
      </c>
      <c r="E17" s="11">
        <v>-1152.0696383139375</v>
      </c>
      <c r="F17" s="11">
        <v>768.04642554262512</v>
      </c>
      <c r="G17" s="5">
        <v>1152.0696383139375</v>
      </c>
      <c r="H17" s="6">
        <f>G13</f>
        <v>4</v>
      </c>
      <c r="I17" s="6">
        <f>VLOOKUP(H17,u_system,2,FALSE)</f>
        <v>-2.0797824050286632E-2</v>
      </c>
      <c r="K17">
        <v>-7.5</v>
      </c>
    </row>
    <row r="18" spans="4:11" x14ac:dyDescent="0.25">
      <c r="E18" s="17" t="s">
        <v>23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1"/>
  <sheetViews>
    <sheetView tabSelected="1" zoomScale="130" zoomScaleNormal="130" workbookViewId="0">
      <selection activeCell="E13" sqref="E13"/>
    </sheetView>
  </sheetViews>
  <sheetFormatPr defaultRowHeight="15" x14ac:dyDescent="0.25"/>
  <cols>
    <col min="6" max="6" width="9.140625" style="1"/>
    <col min="8" max="9" width="9.140625" style="1"/>
    <col min="13" max="13" width="13.5703125" bestFit="1" customWidth="1"/>
  </cols>
  <sheetData>
    <row r="1" spans="1:13" x14ac:dyDescent="0.25">
      <c r="A1" s="13">
        <v>4024.0619007235</v>
      </c>
      <c r="B1" s="13">
        <v>0</v>
      </c>
      <c r="C1" s="13">
        <v>-512.03095036175</v>
      </c>
      <c r="D1" s="13">
        <v>768.046425542625</v>
      </c>
      <c r="E1" s="12">
        <v>-512.03095036175</v>
      </c>
      <c r="F1" s="31">
        <v>-768.046425542625</v>
      </c>
      <c r="G1" s="33">
        <v>-1500</v>
      </c>
      <c r="H1" s="35">
        <v>0</v>
      </c>
      <c r="I1" s="35">
        <v>-1500</v>
      </c>
      <c r="J1" s="34">
        <v>0</v>
      </c>
      <c r="K1" s="37">
        <v>1</v>
      </c>
      <c r="L1">
        <f t="array" ref="L1:L6">MMULT(MINVERSE(A1:F6),M1:M6)</f>
        <v>3.3333333333333348E-3</v>
      </c>
      <c r="M1" s="32">
        <v>0</v>
      </c>
    </row>
    <row r="2" spans="1:13" x14ac:dyDescent="0.25">
      <c r="A2" s="13">
        <v>0</v>
      </c>
      <c r="B2" s="13">
        <v>2304.139276627875</v>
      </c>
      <c r="C2" s="13">
        <v>768.04642554262512</v>
      </c>
      <c r="D2" s="13">
        <v>-1152.0696383139375</v>
      </c>
      <c r="E2" s="13">
        <v>-768.04642554262512</v>
      </c>
      <c r="F2" s="32">
        <v>-1152.0696383139375</v>
      </c>
      <c r="G2" s="14">
        <v>0</v>
      </c>
      <c r="H2" s="37">
        <v>0</v>
      </c>
      <c r="I2" s="37">
        <v>0</v>
      </c>
      <c r="J2" s="19">
        <v>0</v>
      </c>
      <c r="K2" s="37">
        <v>2</v>
      </c>
      <c r="L2">
        <v>-3.9373425878351041E-2</v>
      </c>
      <c r="M2" s="32">
        <v>-30</v>
      </c>
    </row>
    <row r="3" spans="1:13" x14ac:dyDescent="0.25">
      <c r="A3" s="13">
        <v>-512.03095036175</v>
      </c>
      <c r="B3" s="13">
        <v>768.046425542625</v>
      </c>
      <c r="C3" s="13">
        <v>2524.0619007235</v>
      </c>
      <c r="D3" s="13">
        <v>0</v>
      </c>
      <c r="E3" s="13">
        <v>-1500</v>
      </c>
      <c r="F3" s="32">
        <v>0</v>
      </c>
      <c r="G3" s="14">
        <v>-512.03095036175</v>
      </c>
      <c r="H3" s="37">
        <v>-768.046425542625</v>
      </c>
      <c r="I3" s="37">
        <v>0</v>
      </c>
      <c r="J3" s="19">
        <v>0</v>
      </c>
      <c r="K3" s="37">
        <v>3</v>
      </c>
      <c r="L3">
        <v>2.1431701371048308E-2</v>
      </c>
      <c r="M3" s="32">
        <v>20</v>
      </c>
    </row>
    <row r="4" spans="1:13" x14ac:dyDescent="0.25">
      <c r="A4" s="13">
        <v>768.04642554262512</v>
      </c>
      <c r="B4" s="13">
        <v>-1152.0696383139375</v>
      </c>
      <c r="C4" s="13">
        <v>0</v>
      </c>
      <c r="D4" s="13">
        <v>2304.139276627875</v>
      </c>
      <c r="E4" s="13">
        <v>0</v>
      </c>
      <c r="F4" s="32">
        <v>0</v>
      </c>
      <c r="G4" s="14">
        <v>-768.04642554262512</v>
      </c>
      <c r="H4" s="37">
        <v>-1152.0696383139375</v>
      </c>
      <c r="I4" s="37">
        <v>0</v>
      </c>
      <c r="J4" s="19">
        <v>0</v>
      </c>
      <c r="K4" s="37">
        <v>4</v>
      </c>
      <c r="L4">
        <v>-2.0797824050286632E-2</v>
      </c>
      <c r="M4" s="32">
        <v>0</v>
      </c>
    </row>
    <row r="5" spans="1:13" x14ac:dyDescent="0.25">
      <c r="A5" s="13">
        <v>-512.03095036175</v>
      </c>
      <c r="B5" s="13">
        <v>-768.046425542625</v>
      </c>
      <c r="C5" s="13">
        <v>-1500</v>
      </c>
      <c r="D5" s="13">
        <v>0</v>
      </c>
      <c r="E5" s="13">
        <v>2524.0619007235</v>
      </c>
      <c r="F5" s="32">
        <v>0</v>
      </c>
      <c r="G5" s="14">
        <v>0</v>
      </c>
      <c r="H5" s="37">
        <v>0</v>
      </c>
      <c r="I5" s="37">
        <v>-512.03095036175</v>
      </c>
      <c r="J5" s="19">
        <v>768.046425542625</v>
      </c>
      <c r="K5" s="37">
        <v>5</v>
      </c>
      <c r="L5">
        <v>1.4317013710483054E-3</v>
      </c>
      <c r="M5" s="32">
        <v>0</v>
      </c>
    </row>
    <row r="6" spans="1:13" x14ac:dyDescent="0.25">
      <c r="A6" s="13">
        <v>-768.04642554262512</v>
      </c>
      <c r="B6" s="13">
        <v>-1152.0696383139375</v>
      </c>
      <c r="C6" s="13">
        <v>0</v>
      </c>
      <c r="D6" s="13">
        <v>0</v>
      </c>
      <c r="E6" s="13">
        <v>0</v>
      </c>
      <c r="F6" s="32">
        <v>2304.139276627875</v>
      </c>
      <c r="G6" s="14">
        <v>0</v>
      </c>
      <c r="H6" s="37">
        <v>0</v>
      </c>
      <c r="I6" s="37">
        <v>768.04642554262512</v>
      </c>
      <c r="J6" s="19">
        <v>-1152.0696383139375</v>
      </c>
      <c r="K6" s="37">
        <v>6</v>
      </c>
      <c r="L6">
        <v>-1.8575601828064406E-2</v>
      </c>
      <c r="M6" s="32">
        <v>0</v>
      </c>
    </row>
    <row r="7" spans="1:13" x14ac:dyDescent="0.25">
      <c r="A7" s="36">
        <v>-1500</v>
      </c>
      <c r="B7" s="14">
        <v>0</v>
      </c>
      <c r="C7" s="14">
        <v>-512.03095036175</v>
      </c>
      <c r="D7" s="14">
        <v>-768.046425542625</v>
      </c>
      <c r="E7" s="14">
        <v>0</v>
      </c>
      <c r="F7" s="37">
        <v>0</v>
      </c>
      <c r="G7" s="14">
        <v>2012.03095036175</v>
      </c>
      <c r="H7" s="37">
        <v>768.046425542625</v>
      </c>
      <c r="I7" s="37">
        <v>0</v>
      </c>
      <c r="J7" s="19">
        <v>0</v>
      </c>
      <c r="K7" s="37">
        <v>7</v>
      </c>
      <c r="L7" s="37">
        <v>0</v>
      </c>
      <c r="M7">
        <f t="array" ref="M7:M10">MMULT(A7:F10,L1:L6)</f>
        <v>-1.7763568394002505E-15</v>
      </c>
    </row>
    <row r="8" spans="1:13" x14ac:dyDescent="0.25">
      <c r="A8" s="36">
        <v>0</v>
      </c>
      <c r="B8" s="14">
        <v>0</v>
      </c>
      <c r="C8" s="14">
        <v>-768.04642554262512</v>
      </c>
      <c r="D8" s="14">
        <v>-1152.0696383139375</v>
      </c>
      <c r="E8" s="14">
        <v>0</v>
      </c>
      <c r="F8" s="37">
        <v>0</v>
      </c>
      <c r="G8" s="14">
        <v>768.04642554262512</v>
      </c>
      <c r="H8" s="37">
        <v>1152.0696383139375</v>
      </c>
      <c r="I8" s="37">
        <v>0</v>
      </c>
      <c r="J8" s="19">
        <v>0</v>
      </c>
      <c r="K8" s="37">
        <v>8</v>
      </c>
      <c r="L8" s="37">
        <v>0</v>
      </c>
      <c r="M8">
        <v>7.5</v>
      </c>
    </row>
    <row r="9" spans="1:13" x14ac:dyDescent="0.25">
      <c r="A9" s="36">
        <v>-1500</v>
      </c>
      <c r="B9" s="14">
        <v>0</v>
      </c>
      <c r="C9" s="14">
        <v>0</v>
      </c>
      <c r="D9" s="14">
        <v>0</v>
      </c>
      <c r="E9" s="14">
        <v>-512.03095036175</v>
      </c>
      <c r="F9" s="37">
        <v>768.046425542625</v>
      </c>
      <c r="G9" s="14">
        <v>0</v>
      </c>
      <c r="H9" s="37">
        <v>0</v>
      </c>
      <c r="I9" s="37">
        <v>2012.03095036175</v>
      </c>
      <c r="J9" s="19">
        <v>-768.046425542625</v>
      </c>
      <c r="K9" s="37">
        <v>9</v>
      </c>
      <c r="L9" s="37">
        <v>0</v>
      </c>
      <c r="M9">
        <v>-20.000000000000004</v>
      </c>
    </row>
    <row r="10" spans="1:13" ht="15.75" thickBot="1" x14ac:dyDescent="0.3">
      <c r="A10" s="38">
        <v>0</v>
      </c>
      <c r="B10" s="20">
        <v>0</v>
      </c>
      <c r="C10" s="20">
        <v>0</v>
      </c>
      <c r="D10" s="20">
        <v>0</v>
      </c>
      <c r="E10" s="20">
        <v>768.04642554262512</v>
      </c>
      <c r="F10" s="39">
        <v>-1152.0696383139375</v>
      </c>
      <c r="G10" s="20">
        <v>0</v>
      </c>
      <c r="H10" s="39">
        <v>0</v>
      </c>
      <c r="I10" s="39">
        <v>-768.04642554262512</v>
      </c>
      <c r="J10" s="21">
        <v>1152.0696383139375</v>
      </c>
      <c r="K10" s="37">
        <v>10</v>
      </c>
      <c r="L10" s="37">
        <v>0</v>
      </c>
      <c r="M10">
        <v>22.5</v>
      </c>
    </row>
    <row r="11" spans="1:13" x14ac:dyDescent="0.25">
      <c r="L11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NT</vt:lpstr>
      <vt:lpstr>ET</vt:lpstr>
      <vt:lpstr>ESM</vt:lpstr>
      <vt:lpstr>SystemMatrix</vt:lpstr>
      <vt:lpstr>code_vector</vt:lpstr>
      <vt:lpstr>el_count</vt:lpstr>
      <vt:lpstr>el_id</vt:lpstr>
      <vt:lpstr>element_matrix</vt:lpstr>
      <vt:lpstr>elements</vt:lpstr>
      <vt:lpstr>nodes</vt:lpstr>
      <vt:lpstr>q_element</vt:lpstr>
      <vt:lpstr>q_system</vt:lpstr>
      <vt:lpstr>system_matrix</vt:lpstr>
      <vt:lpstr>u_system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macro</dc:creator>
  <cp:lastModifiedBy>macro</cp:lastModifiedBy>
  <dcterms:created xsi:type="dcterms:W3CDTF">2020-02-25T13:30:40Z</dcterms:created>
  <dcterms:modified xsi:type="dcterms:W3CDTF">2020-03-05T09:09:54Z</dcterms:modified>
</cp:coreProperties>
</file>